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TJT Log" sheetId="1" state="visible" r:id="rId3"/>
    <sheet name="FAQs" sheetId="2" state="hidden" r:id="rId4"/>
    <sheet name="Calculation Rules" sheetId="3" state="hidden" r:id="rId5"/>
    <sheet name="Appendix" sheetId="4" state="visible" r:id="rId6"/>
    <sheet name="List - Hide" sheetId="5" state="hidden" r:id="rId7"/>
    <sheet name="Check - Hide" sheetId="6" state="hidden" r:id="rId8"/>
    <sheet name="Sheet2"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<sst xmlns="http://schemas.openxmlformats.org/spreadsheetml/2006/main" count="356" uniqueCount="279">
  <si>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</si>
  <si>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</si>
  <si>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 xml:space="preserve">Indika Arachchilage</t>
  </si>
  <si>
    <t xml:space="preserve">PQ Modules*</t>
  </si>
  <si>
    <t xml:space="preserve">Webinar and Exam/Assignment Completed</t>
  </si>
  <si>
    <t xml:space="preserve">Date Completed (must be after start date of Apprenticeship)</t>
  </si>
  <si>
    <t xml:space="preserve">Contact Hours</t>
  </si>
  <si>
    <t xml:space="preserve">Additional Time spent during contractual working hours (e-learning)</t>
  </si>
  <si>
    <t xml:space="preserve">TOTAL</t>
  </si>
  <si>
    <t xml:space="preserve">Induction Data Fundamentals</t>
  </si>
  <si>
    <t xml:space="preserve">Yes</t>
  </si>
  <si>
    <t xml:space="preserve">Data Fundamentals</t>
  </si>
  <si>
    <t xml:space="preserve">Databases and Data Lakes</t>
  </si>
  <si>
    <t xml:space="preserve">Programming and Scrippting Essentials</t>
  </si>
  <si>
    <t xml:space="preserve">Networks Essentials and Cyber Security</t>
  </si>
  <si>
    <t xml:space="preserve">Cloud Engineering</t>
  </si>
  <si>
    <t xml:space="preserve">Data Collection and Ingestion 1</t>
  </si>
  <si>
    <t xml:space="preserve">Data Collection and Ingestion 2</t>
  </si>
  <si>
    <t xml:space="preserve">Data Pipelines</t>
  </si>
  <si>
    <t xml:space="preserve">Data Responsibilities</t>
  </si>
  <si>
    <t xml:space="preserve">Production Environment</t>
  </si>
  <si>
    <t xml:space="preserve">Data Products</t>
  </si>
  <si>
    <t xml:space="preserve">Data Futures</t>
  </si>
  <si>
    <t xml:space="preserve">TOTAL HOURS FROM STUDIES</t>
  </si>
  <si>
    <t xml:space="preserve">Skills &amp; Behaviours</t>
  </si>
  <si>
    <t xml:space="preserve">Submitted</t>
  </si>
  <si>
    <t xml:space="preserve">Date Submitted</t>
  </si>
  <si>
    <t xml:space="preserve">Hours</t>
  </si>
  <si>
    <t xml:space="preserve">Additional Time spent during contractual working hours if applicable</t>
  </si>
  <si>
    <t xml:space="preserve">Portfolio Task 1 </t>
  </si>
  <si>
    <t xml:space="preserve">Portfolio Task 2</t>
  </si>
  <si>
    <t xml:space="preserve">Portfolio Task 3</t>
  </si>
  <si>
    <t xml:space="preserve">Portfolio Task 4</t>
  </si>
  <si>
    <t xml:space="preserve">Portfolio Task 5</t>
  </si>
  <si>
    <t xml:space="preserve">Continuing Professional Development Log - include below any additional training courses provided by your employer that fulfils the following criteria:</t>
  </si>
  <si>
    <t xml:space="preserve">1. The training completed has helped you to perform in your role more effectively</t>
  </si>
  <si>
    <t xml:space="preserve">2. The training aligns to the learning outcomes of your programme. (Note that courses made available to all new employees such as Health and Safety don’t count unless they specifically benefit your role)</t>
  </si>
  <si>
    <t xml:space="preserve">Please enter any additional Employer Provided Training (delivered internally or externally)
Do not include any activity which relates the Professional Qualification or S&amp;B assignments</t>
  </si>
  <si>
    <t xml:space="preserve">*Select which learning outcome the training related to</t>
  </si>
  <si>
    <t xml:space="preserve">Date Completed</t>
  </si>
  <si>
    <t xml:space="preserve">What did you learn from this?  How has the activity benefitted your understanding?</t>
  </si>
  <si>
    <t xml:space="preserve">*For each activity identified show how it maps to the Knowledge, Skills and Behaviours set out in the Standard in Column C. See Appendix for descriptions and learning outcome for the Skills and Behaviours</t>
  </si>
  <si>
    <t xml:space="preserve">NDG Linux Unhatched</t>
  </si>
  <si>
    <t xml:space="preserve">K20</t>
  </si>
  <si>
    <t xml:space="preserve">Getting Started with Programming in Python</t>
  </si>
  <si>
    <t xml:space="preserve">S9</t>
  </si>
  <si>
    <t xml:space="preserve">Copilot Deep Dive: Excel</t>
  </si>
  <si>
    <t xml:space="preserve">K29</t>
  </si>
  <si>
    <t xml:space="preserve">MySQL Database Development: Manipulating Data</t>
  </si>
  <si>
    <t xml:space="preserve">S6</t>
  </si>
  <si>
    <t xml:space="preserve">Created python code to access an API and pull data into a cloud-based database and then used a scheduled linux cron job to trigger data ingestion</t>
  </si>
  <si>
    <t xml:space="preserve">K15</t>
  </si>
  <si>
    <t xml:space="preserve">Data Cleaning with Pandas in Python (Workday)</t>
  </si>
  <si>
    <t xml:space="preserve">A Closer Look at Data Architecture (Workday)</t>
  </si>
  <si>
    <t xml:space="preserve">K26</t>
  </si>
  <si>
    <t xml:space="preserve">Snowflake Tutorial by Data Engineering Simplified Modules 1-5</t>
  </si>
  <si>
    <t xml:space="preserve">S14</t>
  </si>
  <si>
    <t xml:space="preserve">dbt fundamentals by DBTLearn</t>
  </si>
  <si>
    <t xml:space="preserve">Snowflake Tutorial by Data Engineering Simplified Modules 6-8</t>
  </si>
  <si>
    <t xml:space="preserve">GRAND TOTAL</t>
  </si>
  <si>
    <t xml:space="preserve">Total required</t>
  </si>
  <si>
    <t xml:space="preserve">Completed to date</t>
  </si>
  <si>
    <t xml:space="preserve">Outstanding </t>
  </si>
  <si>
    <t xml:space="preserve">FAQs</t>
  </si>
  <si>
    <t xml:space="preserve">Question</t>
  </si>
  <si>
    <t xml:space="preserve">Answer</t>
  </si>
  <si>
    <t xml:space="preserve">Is time spent sitting the exam included within the BPP hours for that exam or can it be added?</t>
  </si>
  <si>
    <t xml:space="preserve">Can time spent on Research on a specific job be included on the OTJT?</t>
  </si>
  <si>
    <t xml:space="preserve">Can study leave other than attending BPP courses be included?</t>
  </si>
  <si>
    <t xml:space="preserve">Can training on compliance be included?</t>
  </si>
  <si>
    <t xml:space="preserve">You can only include compliance training if it relevant to your role and it is not generic training.</t>
  </si>
  <si>
    <t xml:space="preserve">When and where do I submit this?</t>
  </si>
  <si>
    <t xml:space="preserve">You can submit this informally for us to review and provide feedback on before any of your review calls. You will formally submit it before your gateway call. Please send it to performancesupport@bbp.com at least 48 hours before your review call.</t>
  </si>
  <si>
    <t xml:space="preserve">Should my Line manager sign my log?</t>
  </si>
  <si>
    <t xml:space="preserve">No</t>
  </si>
  <si>
    <t xml:space="preserve">Should study days for BPP exams be included?</t>
  </si>
  <si>
    <t xml:space="preserve">Only if they are during contracted hours</t>
  </si>
  <si>
    <t xml:space="preserve">Should time on retakes be included?</t>
  </si>
  <si>
    <t xml:space="preserve">Should the webinars within the course subjects (on exam technique) be incldued?</t>
  </si>
  <si>
    <t xml:space="preserve">Can I add time that I spend on S&amp;B in addition to the 45 hours recorded?</t>
  </si>
  <si>
    <t xml:space="preserve">Yes, as long as it is in contractual hours</t>
  </si>
  <si>
    <t xml:space="preserve">What parts of the course (ALS, question bank) can be incldued?</t>
  </si>
  <si>
    <t xml:space="preserve">Knowledge</t>
  </si>
  <si>
    <t xml:space="preserve">Skills</t>
  </si>
  <si>
    <t xml:space="preserve">Behaviours</t>
  </si>
  <si>
    <t xml:space="preserve">K1: Processes to monitor and optimise the performance of the availability, management and performance of data product.</t>
  </si>
  <si>
    <t xml:space="preserve">S1: Collate, evaluate and refine user requirements to design the data product.</t>
  </si>
  <si>
    <t xml:space="preserve">B1: Acts proactively and takes accountability adapting positively to changing work priorities, ensuring deadlines are met.</t>
  </si>
  <si>
    <t xml:space="preserve">K2: Methodologies for moving data from one system to another for storage and further handling.</t>
  </si>
  <si>
    <t xml:space="preserve">S2: Collate, evaluate and refine business requirements including cost, resourcing, and accessibility to design the data product.</t>
  </si>
  <si>
    <t xml:space="preserve">B2: Works collaboratively with stakeholders and colleagues, developing strong working relationships to achieve common goals. Support an inclusive culture and treat technical and none technical colleagues and stakeholders with respect.</t>
  </si>
  <si>
    <t xml:space="preserve">K3: Data normalisation principles and the advantages they achieve in databases for data protection, redundancy, and inconsistent dependency.</t>
  </si>
  <si>
    <t xml:space="preserve">S3: Design a data product to serve multiple needs and with scalability, efficiency, and security in mind.</t>
  </si>
  <si>
    <t xml:space="preserve">B3: Quality focus that promotes continuous improvement utilising peer review techniques, innovation and creativity to the data system development process to improve processes and address business challenges.</t>
  </si>
  <si>
    <t xml:space="preserve">K4: Frameworks for data quality, covering dimensions such as accuracy, completeness, consistency, timeliness, and accessibility.</t>
  </si>
  <si>
    <t xml:space="preserve">S4: Automate data pipelines such as batch, real-time, on demand and other processes using either programming languages and data integration platforms with graphical user interfaces.</t>
  </si>
  <si>
    <t xml:space="preserve">B4: Takes personal responsibility towards net zero and prioritises environmental sustainability outcomes in how they carry out the duties of their role.</t>
  </si>
  <si>
    <t xml:space="preserve">K5: The inherent risks of data such as incomplete data, ethical data sources and how to ensure data quality.</t>
  </si>
  <si>
    <t xml:space="preserve">S5: Produce and maintain technical documentation explaining the data product, that meets organisational, technical and non-technical user requirements, retaining critical information.</t>
  </si>
  <si>
    <t xml:space="preserve">B5: Use initiative and innovation to problem solve and trouble shoot, providing creative solutions.</t>
  </si>
  <si>
    <t xml:space="preserve">K6: Software development principles for data products, including debugging, version control, and testing.</t>
  </si>
  <si>
    <t xml:space="preserve">S6: Systematically clean, validate, and describe data at all stages of extract, transform, load (ETL).</t>
  </si>
  <si>
    <t xml:space="preserve">B6: Keeps abreast of developments in emerging, contemporary and advanced technologies to optimise sustainable data products and services.</t>
  </si>
  <si>
    <t xml:space="preserve">K7: Principles of sustainable data products and organisational responsibilities for environmental social governance.</t>
  </si>
  <si>
    <t xml:space="preserve">S7: Work with different types of data stores, such as SQL, NoSQL, and distributed file system.</t>
  </si>
  <si>
    <t xml:space="preserve">K8: Deployment approaches for new data pipelines and automated processes.</t>
  </si>
  <si>
    <t xml:space="preserve">S8: Identify and troubleshoot issues with data processing pipelines.</t>
  </si>
  <si>
    <t xml:space="preserve">K9: How to build a data product that complies with regulatory requirements.</t>
  </si>
  <si>
    <t xml:space="preserve">S9: Query and manipulate data using tools and programming such as SQL and Python. Manage database access, and implement automated validation checks.</t>
  </si>
  <si>
    <t xml:space="preserve">K10: Concepts of data governance, including regulatory requirements, data privacy, security, and quality control. Legislation and its application to the safe use of data.</t>
  </si>
  <si>
    <t xml:space="preserve">S10: Communicate downtime and issues with database access to stakeholders to mitigate the operational impact of unforeseen issues.</t>
  </si>
  <si>
    <t xml:space="preserve">K11: Data and information security standards, ethical practices, policies and procedures relevant to data management activities such as data lineage and metadata management.</t>
  </si>
  <si>
    <t xml:space="preserve">S11: Evaluate opportunities to extract value from existing data products through further development, considering costs, environmental impact and potential operational benefits.</t>
  </si>
  <si>
    <t xml:space="preserve">K12: How to cost and build a system whilst ensuring that organisational strategies for sustainable, net zero technologies are considered.</t>
  </si>
  <si>
    <t xml:space="preserve">S12: Maintain a working knowledge of data use cases within organisations.</t>
  </si>
  <si>
    <t xml:space="preserve">K13: The implications of financial, strategic and compliance regarding to security, scalability, compliance and cost of local, remote or distributed solutions.</t>
  </si>
  <si>
    <t xml:space="preserve">S13: Use data systems securely to meet requirements and in line with organisational procedures and legislation.</t>
  </si>
  <si>
    <t xml:space="preserve">K14: The uses of on-demand Cloud computing platform(s) in a public or private environment such as Amazon AWS, Google Cloud, Hadoop, IBM Cloud, Salesforce and Microsoft Azure.</t>
  </si>
  <si>
    <t xml:space="preserve">S14: Identify new tools and technologies and recommend potential opportunities for use in own department or organisation.</t>
  </si>
  <si>
    <t xml:space="preserve">K15: Data warehousing principles, including techniques such as star schemas, data lakes, and data marts.</t>
  </si>
  <si>
    <t xml:space="preserve">S15: Optimise data ingestion processes by making use of appropriate data ingestion frameworks such as batch, streaming and on-demand.</t>
  </si>
  <si>
    <t xml:space="preserve">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</si>
  <si>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 xml:space="preserve">S16: Develop algorithms and processes to extract structured data from unstructured sources.</t>
  </si>
  <si>
    <t xml:space="preserve">K17: Approaches to data integration and how combining disparate data sources delivers value to an organisation.</t>
  </si>
  <si>
    <t xml:space="preserve">S17: Apply and advocate for software development best practice when working with other data professionals throughout the business. Contribute to standards and ways of working that support software development principles.</t>
  </si>
  <si>
    <t xml:space="preserve">K18: How to use streaming, batching and on-demand services to move data from one location to another.</t>
  </si>
  <si>
    <t xml:space="preserve">S18: Develop simple forecasts and monitoring tools to anticipate or respond immediately to outages and incidents.</t>
  </si>
  <si>
    <t xml:space="preserve">K19: Differences between structured, semi-structured, and unstructured data.</t>
  </si>
  <si>
    <t xml:space="preserve">S19: Identify and escalate risks with suggested mitigation/resolutions as appropriate.</t>
  </si>
  <si>
    <t xml:space="preserve">K20: Types and uses of data engineering tools and applications in own organisation.</t>
  </si>
  <si>
    <t xml:space="preserve">S20: Investigate and respond to incidents, identifying the root cause and resolution with internal and external stakeholders.</t>
  </si>
  <si>
    <t xml:space="preserve">K21: Policies and strategies to ensure business continuity for operations, particularly in relation to data provision.</t>
  </si>
  <si>
    <t xml:space="preserve">S21: Identify and remediate technical debt, assess for updates and obsolescence as part of continuous improvement.</t>
  </si>
  <si>
    <t xml:space="preserve">K22: Technology and service management best practice including configuration, change and incident management.</t>
  </si>
  <si>
    <t xml:space="preserve">S22: Develop, maintain collaborative relationships using adaptive business methodology with stakeholders such as, business users, data scientists, data analysts and business intelligence teams.</t>
  </si>
  <si>
    <t xml:space="preserve">K23: How to undertake analysis and root cause investigation.</t>
  </si>
  <si>
    <t xml:space="preserve">S23: Present, communicate, and disseminate messages about the data product, tailoring the message and medium to the needs of the audience.</t>
  </si>
  <si>
    <t xml:space="preserve">K24: Processes for evaluating prototypes and taking them to implementation within a production environment.</t>
  </si>
  <si>
    <t xml:space="preserve">S24: Evaluate the strengths and weaknesses of prototype data products and how these integrate within an organisation’s overarching data infrastructure.</t>
  </si>
  <si>
    <t xml:space="preserve">K25: The lifecycle of implementing data solutions in a business, from scoping, though prototyping, development, production, and continuous improvement.</t>
  </si>
  <si>
    <t xml:space="preserve">S25: Assess and identify gaps in existing tools and technologies in respect of implementing changes required.</t>
  </si>
  <si>
    <t xml:space="preserve">K26: Data development frameworks and approved organisational architectures.</t>
  </si>
  <si>
    <t xml:space="preserve">S26: Identify data quality metrics and track them to ensure the quality, accuracy and reliability of the data product.</t>
  </si>
  <si>
    <t xml:space="preserve">K27: The principles of descriptive, predictive and prescriptive analytics.</t>
  </si>
  <si>
    <t xml:space="preserve">S27: Selects and apply sustainable solutions to contribute to net zero and environmental strategies across the various stages of product and service delivery.</t>
  </si>
  <si>
    <t xml:space="preserve">K28: Continuous improvement including how to: capture good practice and lessons learned.</t>
  </si>
  <si>
    <t xml:space="preserve">S28: Horizon scanning to identify new technologies that offer increased performance of data products.</t>
  </si>
  <si>
    <t xml:space="preserve">K29: Strategies for keeping up to date with new ways of working and technological developments in data science, data engineering and AI.</t>
  </si>
  <si>
    <t xml:space="preserve">S29: Implement personal strategies to keep up to date with new technology and ways of working.</t>
  </si>
  <si>
    <t xml:space="preserve">K30: The methods and techniques used to communicate messages to meet the needs of the audience.</t>
  </si>
  <si>
    <t xml:space="preserve">Assessments</t>
  </si>
  <si>
    <t xml:space="preserve">Induction </t>
  </si>
  <si>
    <t xml:space="preserve">Coaching calls</t>
  </si>
  <si>
    <t xml:space="preserve">Portfolio Submissions</t>
  </si>
  <si>
    <t xml:space="preserve">EPA</t>
  </si>
  <si>
    <t xml:space="preserve">Live</t>
  </si>
  <si>
    <t xml:space="preserve">Portfolio</t>
  </si>
  <si>
    <t xml:space="preserve">Directed Learning </t>
  </si>
  <si>
    <t xml:space="preserve">Coaching </t>
  </si>
  <si>
    <t xml:space="preserve">Total </t>
  </si>
  <si>
    <t xml:space="preserve">Standard Delivery</t>
  </si>
  <si>
    <t xml:space="preserve">Week 1</t>
  </si>
  <si>
    <t xml:space="preserve">Week 2</t>
  </si>
  <si>
    <t xml:space="preserve">Week 3</t>
  </si>
  <si>
    <t xml:space="preserve">Week 4</t>
  </si>
  <si>
    <t xml:space="preserve">Week 5</t>
  </si>
  <si>
    <t xml:space="preserve">Week 6</t>
  </si>
  <si>
    <t xml:space="preserve">Week 7</t>
  </si>
  <si>
    <t xml:space="preserve">Week 8</t>
  </si>
  <si>
    <t xml:space="preserve">Induction</t>
  </si>
  <si>
    <t xml:space="preserve">Week 9</t>
  </si>
  <si>
    <t xml:space="preserve">% programme</t>
  </si>
  <si>
    <t xml:space="preserve">OLL &amp; coach</t>
  </si>
  <si>
    <t xml:space="preserve">Week 10</t>
  </si>
  <si>
    <t xml:space="preserve">Hours of programme</t>
  </si>
  <si>
    <t xml:space="preserve">Week 11</t>
  </si>
  <si>
    <t xml:space="preserve">Hrs</t>
  </si>
  <si>
    <t xml:space="preserve">%</t>
  </si>
  <si>
    <t xml:space="preserve">Cum %</t>
  </si>
  <si>
    <t xml:space="preserve">Coach Hrs</t>
  </si>
  <si>
    <t xml:space="preserve">Week 12</t>
  </si>
  <si>
    <t xml:space="preserve"> </t>
  </si>
  <si>
    <t xml:space="preserve">Week 13</t>
  </si>
  <si>
    <t xml:space="preserve">Week 14</t>
  </si>
  <si>
    <t xml:space="preserve">Week 15</t>
  </si>
  <si>
    <t xml:space="preserve">Week 16</t>
  </si>
  <si>
    <t xml:space="preserve">Week 17</t>
  </si>
  <si>
    <t xml:space="preserve">Week 18</t>
  </si>
  <si>
    <t xml:space="preserve">Week 19</t>
  </si>
  <si>
    <t xml:space="preserve">Week 20</t>
  </si>
  <si>
    <t xml:space="preserve">Week 21</t>
  </si>
  <si>
    <t xml:space="preserve">Week 22</t>
  </si>
  <si>
    <t xml:space="preserve">Week 23</t>
  </si>
  <si>
    <t xml:space="preserve">Week 24</t>
  </si>
  <si>
    <t xml:space="preserve">Week 25</t>
  </si>
  <si>
    <t xml:space="preserve">Week 26</t>
  </si>
  <si>
    <t xml:space="preserve">Milestones 1</t>
  </si>
  <si>
    <t xml:space="preserve">Week 27</t>
  </si>
  <si>
    <t xml:space="preserve">Milestones 2</t>
  </si>
  <si>
    <t xml:space="preserve">Week 28</t>
  </si>
  <si>
    <t xml:space="preserve">Group Project</t>
  </si>
  <si>
    <t xml:space="preserve">Milestones 3</t>
  </si>
  <si>
    <t xml:space="preserve">Week 29</t>
  </si>
  <si>
    <t xml:space="preserve">Milestones 4</t>
  </si>
  <si>
    <t xml:space="preserve">Week 30</t>
  </si>
  <si>
    <t xml:space="preserve">Milestones 5</t>
  </si>
  <si>
    <t xml:space="preserve">Week 31</t>
  </si>
  <si>
    <t xml:space="preserve">Week 32</t>
  </si>
  <si>
    <t xml:space="preserve">Week 33</t>
  </si>
  <si>
    <t xml:space="preserve">Week 34</t>
  </si>
  <si>
    <t xml:space="preserve">Week 35</t>
  </si>
  <si>
    <t xml:space="preserve">Week 36</t>
  </si>
  <si>
    <t xml:space="preserve">Week 37</t>
  </si>
  <si>
    <t xml:space="preserve">Week 38</t>
  </si>
  <si>
    <t xml:space="preserve">Week 39</t>
  </si>
  <si>
    <t xml:space="preserve">Week 40</t>
  </si>
  <si>
    <t xml:space="preserve">Week 41</t>
  </si>
  <si>
    <t xml:space="preserve">Week 42</t>
  </si>
  <si>
    <t xml:space="preserve">Week 43</t>
  </si>
  <si>
    <t xml:space="preserve">Week 44</t>
  </si>
  <si>
    <t xml:space="preserve">Week 45</t>
  </si>
  <si>
    <t xml:space="preserve">Week 46</t>
  </si>
  <si>
    <t xml:space="preserve">Week 47</t>
  </si>
  <si>
    <t xml:space="preserve">Week 48</t>
  </si>
  <si>
    <t xml:space="preserve">Week 49</t>
  </si>
  <si>
    <t xml:space="preserve">Week 50</t>
  </si>
  <si>
    <t xml:space="preserve">Week 51</t>
  </si>
  <si>
    <t xml:space="preserve">Week 52</t>
  </si>
  <si>
    <t xml:space="preserve">Week 53</t>
  </si>
  <si>
    <t xml:space="preserve">Week 54</t>
  </si>
  <si>
    <t xml:space="preserve">Week 55</t>
  </si>
  <si>
    <t xml:space="preserve">Week 56</t>
  </si>
  <si>
    <t xml:space="preserve">Week 57</t>
  </si>
  <si>
    <t xml:space="preserve">Week 58</t>
  </si>
  <si>
    <t xml:space="preserve">Week 59</t>
  </si>
  <si>
    <t xml:space="preserve">Week 60</t>
  </si>
  <si>
    <t xml:space="preserve">Week 61</t>
  </si>
  <si>
    <t xml:space="preserve">Week 62</t>
  </si>
  <si>
    <t xml:space="preserve">Week 63</t>
  </si>
  <si>
    <t xml:space="preserve">Week 64</t>
  </si>
  <si>
    <t xml:space="preserve">Week 65</t>
  </si>
  <si>
    <t xml:space="preserve">Week 66</t>
  </si>
  <si>
    <t xml:space="preserve">Week 67</t>
  </si>
  <si>
    <t xml:space="preserve">Week 68</t>
  </si>
  <si>
    <t xml:space="preserve">Week 69</t>
  </si>
  <si>
    <t xml:space="preserve">Week 70</t>
  </si>
  <si>
    <t xml:space="preserve">Week 71</t>
  </si>
  <si>
    <t xml:space="preserve">Week 72</t>
  </si>
  <si>
    <t xml:space="preserve">Week 73</t>
  </si>
  <si>
    <t xml:space="preserve">Week 74</t>
  </si>
  <si>
    <t xml:space="preserve">Week 75</t>
  </si>
  <si>
    <t xml:space="preserve">Week 76</t>
  </si>
  <si>
    <t xml:space="preserve">Programme Weeks</t>
  </si>
  <si>
    <t xml:space="preserve">OTJ Target</t>
  </si>
  <si>
    <t xml:space="preserve">Working days </t>
  </si>
  <si>
    <t xml:space="preserve">Days leave</t>
  </si>
  <si>
    <t xml:space="preserve">Working Days </t>
  </si>
  <si>
    <t xml:space="preserve">OTJ days</t>
  </si>
  <si>
    <t xml:space="preserve">OTJ Hours</t>
  </si>
  <si>
    <t xml:space="preserve">TRAINING REQUIREMENT CHECK</t>
  </si>
  <si>
    <t xml:space="preserve">Start date of apprenticeship</t>
  </si>
  <si>
    <t xml:space="preserve">enter value here</t>
  </si>
  <si>
    <t xml:space="preserve">date of GW call</t>
  </si>
  <si>
    <t xml:space="preserve">No. days in programme</t>
  </si>
  <si>
    <t xml:space="preserve">Don't amend</t>
  </si>
  <si>
    <t xml:space="preserve">No years in programme</t>
  </si>
  <si>
    <t xml:space="preserve">Contracted hours</t>
  </si>
  <si>
    <t xml:space="preserve">Total required hours</t>
  </si>
  <si>
    <t xml:space="preserve">HOW DOES THE ANNUAL LEAVE ALLOWANCE WORK?  DOES THIS NEED TO BE </t>
  </si>
  <si>
    <t xml:space="preserve">TAKEN INTO ACCOUNT HERE?</t>
  </si>
  <si>
    <t xml:space="preserve">Actual Hours from OTJT Log</t>
  </si>
  <si>
    <t xml:space="preserve">Excess / (Shortfall)</t>
  </si>
  <si>
    <t xml:space="preserve">We can password protect this sheet later</t>
  </si>
  <si>
    <t xml:space="preserve">OFF THE JOB TRAINING LOG</t>
  </si>
  <si>
    <t xml:space="preserve">In order to include internal training as part of the 20% Off-The-Job-Training requirement, it needs to fulfil the following criteria:</t>
  </si>
  <si>
    <r>
      <rPr>
        <b val="true"/>
        <sz val="10"/>
        <color theme="1" tint="0.2499"/>
        <rFont val="Calibri"/>
        <family val="2"/>
        <charset val="1"/>
      </rPr>
      <t xml:space="preserve">Be relevant to the role that the apprentice is undertaking</t>
    </r>
    <r>
      <rPr>
        <sz val="10"/>
        <color theme="1" tint="0.2499"/>
        <rFont val="Calibri"/>
        <family val="2"/>
        <charset val="1"/>
      </rPr>
      <t xml:space="preserve"> ie is the learner developing their ability to perform their role through attending this course?</t>
    </r>
  </si>
  <si>
    <r>
      <rPr>
        <b val="true"/>
        <sz val="10"/>
        <color theme="1" tint="0.2499"/>
        <rFont val="Calibri"/>
        <family val="2"/>
        <charset val="1"/>
      </rPr>
      <t xml:space="preserve">Be specific to the apprenticeship</t>
    </r>
    <r>
      <rPr>
        <sz val="10"/>
        <color theme="1" tint="0.2499"/>
        <rFont val="Calibri"/>
        <family val="2"/>
        <charset val="1"/>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</si>
  <si>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val="true"/>
        <sz val="10"/>
        <color theme="1" tint="0.2499"/>
        <rFont val="Calibri"/>
        <family val="2"/>
        <charset val="1"/>
      </rPr>
      <t xml:space="preserve">Cover one or more of the Knowledge, Skills and Behaviours</t>
    </r>
    <r>
      <rPr>
        <sz val="10"/>
        <color theme="1" tint="0.2499"/>
        <rFont val="Calibri"/>
        <family val="2"/>
        <charset val="1"/>
      </rPr>
      <t xml:space="preserve"> as set out in the Apprenticeship Standard – detailed learning outcomes are provided in the appendix.</t>
    </r>
  </si>
  <si>
    <t xml:space="preserve">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</si>
</sst>
</file>

<file path=xl/styles.xml><?xml version="1.0" encoding="utf-8"?>
<styleSheet xmlns="http://schemas.openxmlformats.org/spreadsheetml/2006/main">
  <numFmts count="5">
    <numFmt numFmtId="164" formatCode="General"/>
    <numFmt numFmtId="165" formatCode="dd/mm/yyyy"/>
    <numFmt numFmtId="166" formatCode="0.00"/>
    <numFmt numFmtId="167" formatCode="0%"/>
    <numFmt numFmtId="168" formatCode="0.0"/>
  </numFmts>
  <fonts count="29">
    <font>
      <sz val="11"/>
      <color theme="1"/>
      <name val="Calibri"/>
      <family val="2"/>
      <charset val="1"/>
    </font>
    <font>
      <sz val="10"/>
      <name val="Arial"/>
      <family val="0"/>
    </font>
    <font>
      <sz val="10"/>
      <name val="Arial"/>
      <family val="0"/>
    </font>
    <font>
      <sz val="10"/>
      <name val="Arial"/>
      <family val="0"/>
    </font>
    <font>
      <sz val="10"/>
      <color theme="1"/>
      <name val="Arial"/>
      <family val="2"/>
      <charset val="1"/>
    </font>
    <font>
      <sz val="20"/>
      <color theme="1"/>
      <name val="Calibri"/>
      <family val="2"/>
      <charset val="1"/>
    </font>
    <font>
      <sz val="12"/>
      <color theme="1"/>
      <name val="Calibri"/>
      <family val="2"/>
      <charset val="1"/>
    </font>
    <font>
      <u val="single"/>
      <sz val="12"/>
      <color theme="1"/>
      <name val="Calibri"/>
      <family val="2"/>
      <charset val="1"/>
    </font>
    <font>
      <b val="true"/>
      <sz val="11"/>
      <color theme="1"/>
      <name val="Calibri"/>
      <family val="2"/>
      <charset val="1"/>
    </font>
    <font>
      <sz val="11"/>
      <name val="Calibri"/>
      <family val="2"/>
      <charset val="1"/>
    </font>
    <font>
      <sz val="11"/>
      <color rgb="FF000000"/>
      <name val="Calibri"/>
      <family val="2"/>
      <charset val="1"/>
    </font>
    <font>
      <sz val="8"/>
      <color rgb="FF3C3C3B"/>
      <name val="Calibri"/>
      <family val="2"/>
      <charset val="1"/>
    </font>
    <font>
      <b val="true"/>
      <sz val="10"/>
      <color theme="1"/>
      <name val="Calibri"/>
      <family val="2"/>
      <charset val="1"/>
    </font>
    <font>
      <u val="single"/>
      <sz val="11"/>
      <color theme="1"/>
      <name val="Calibri"/>
      <family val="2"/>
      <charset val="1"/>
    </font>
    <font>
      <i val="true"/>
      <sz val="11"/>
      <color rgb="FF000000"/>
      <name val="Calibri"/>
      <family val="2"/>
      <charset val="1"/>
    </font>
    <font>
      <i val="true"/>
      <sz val="11"/>
      <color theme="1"/>
      <name val="Calibri"/>
      <family val="2"/>
      <charset val="1"/>
    </font>
    <font>
      <b val="true"/>
      <i val="true"/>
      <sz val="11"/>
      <color theme="1"/>
      <name val="Calibri"/>
      <family val="2"/>
      <charset val="1"/>
    </font>
    <font>
      <b val="true"/>
      <sz val="14"/>
      <color theme="1"/>
      <name val="Calibri"/>
      <family val="2"/>
      <charset val="1"/>
    </font>
    <font>
      <b val="true"/>
      <sz val="11"/>
      <color rgb="FF000000"/>
      <name val="Calibri"/>
      <family val="2"/>
      <charset val="1"/>
    </font>
    <font>
      <sz val="10"/>
      <color rgb="FF334047"/>
      <name val="Arial"/>
      <family val="2"/>
      <charset val="1"/>
    </font>
    <font>
      <sz val="11"/>
      <color rgb="FFFF0000"/>
      <name val="Calibri"/>
      <family val="2"/>
      <charset val="1"/>
    </font>
    <font>
      <b val="true"/>
      <sz val="11"/>
      <color rgb="FFFF0000"/>
      <name val="Calibri"/>
      <family val="2"/>
      <charset val="1"/>
    </font>
    <font>
      <b val="true"/>
      <sz val="14"/>
      <color theme="0" tint="-0.5"/>
      <name val="Arial"/>
      <family val="2"/>
      <charset val="1"/>
    </font>
    <font>
      <sz val="14"/>
      <color theme="0" tint="-0.5"/>
      <name val="Arial"/>
      <family val="2"/>
      <charset val="1"/>
    </font>
    <font>
      <sz val="10"/>
      <color theme="0" tint="-0.5"/>
      <name val="Arial"/>
      <family val="2"/>
      <charset val="1"/>
    </font>
    <font>
      <u val="single"/>
      <sz val="10"/>
      <color theme="1" tint="0.2499"/>
      <name val="Calibri"/>
      <family val="2"/>
      <charset val="1"/>
    </font>
    <font>
      <sz val="11"/>
      <color theme="1" tint="0.2499"/>
      <name val="Calibri"/>
      <family val="2"/>
      <charset val="1"/>
    </font>
    <font>
      <b val="true"/>
      <sz val="10"/>
      <color theme="1" tint="0.2499"/>
      <name val="Calibri"/>
      <family val="2"/>
      <charset val="1"/>
    </font>
    <font>
      <sz val="10"/>
      <color theme="1" tint="0.2499"/>
      <name val="Calibri"/>
      <family val="2"/>
      <charset val="1"/>
    </font>
  </fonts>
  <fills count="6">
    <fill>
      <patternFill patternType="none"/>
    </fill>
    <fill>
      <patternFill patternType="gray125"/>
    </fill>
    <fill>
      <patternFill patternType="solid">
        <fgColor theme="0"/>
        <bgColor rgb="FFFFFFCC"/>
      </patternFill>
    </fill>
    <fill>
      <patternFill patternType="solid">
        <fgColor rgb="FF00B050"/>
        <bgColor rgb="FF008080"/>
      </patternFill>
    </fill>
    <fill>
      <patternFill patternType="solid">
        <fgColor rgb="FFFFFF00"/>
        <bgColor rgb="FFFFFF00"/>
      </patternFill>
    </fill>
    <fill>
      <patternFill patternType="solid">
        <fgColor theme="0" tint="-0.15"/>
        <bgColor rgb="FFBFBFBF"/>
      </patternFill>
    </fill>
  </fills>
  <borders count="47">
    <border diagonalUp="false" diagonalDown="false">
      <left/>
      <right/>
      <top/>
      <bottom/>
      <diagonal/>
    </border>
    <border diagonalUp="false" diagonalDown="false">
      <left/>
      <right style="thin">
        <color theme="0"/>
      </right>
      <top/>
      <bottom style="thin">
        <color theme="0"/>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thin">
        <color theme="0"/>
      </bottom>
      <diagonal/>
    </border>
    <border diagonalUp="false" diagonalDown="false">
      <left/>
      <right/>
      <top/>
      <bottom style="thin">
        <color theme="0"/>
      </bottom>
      <diagonal/>
    </border>
    <border diagonalUp="false" diagonalDown="false">
      <left style="thin">
        <color theme="0"/>
      </left>
      <right/>
      <top style="thin">
        <color theme="0"/>
      </top>
      <bottom style="thin">
        <color theme="0"/>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style="thin"/>
      <bottom style="thin"/>
      <diagonal/>
    </border>
    <border diagonalUp="false" diagonalDown="false">
      <left/>
      <right style="thin">
        <color theme="0"/>
      </right>
      <top style="thin">
        <color theme="0"/>
      </top>
      <bottom style="thin">
        <color theme="0"/>
      </bottom>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color theme="0"/>
      </left>
      <right style="thin">
        <color theme="0"/>
      </right>
      <top style="thin"/>
      <bottom/>
      <diagonal/>
    </border>
    <border diagonalUp="false" diagonalDown="false">
      <left style="thin">
        <color theme="0"/>
      </left>
      <right style="thin">
        <color theme="0"/>
      </right>
      <top/>
      <bottom/>
      <diagonal/>
    </border>
    <border diagonalUp="false" diagonalDown="false">
      <left style="thin">
        <color theme="0"/>
      </left>
      <right/>
      <top/>
      <bottom/>
      <diagonal/>
    </border>
    <border diagonalUp="false" diagonalDown="false">
      <left style="thin">
        <color theme="0"/>
      </left>
      <right style="thin">
        <color theme="0"/>
      </right>
      <top style="thin">
        <color theme="0"/>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color theme="0"/>
      </right>
      <top style="thin"/>
      <bottom style="thin"/>
      <diagonal/>
    </border>
    <border diagonalUp="false" diagonalDown="false">
      <left/>
      <right style="thin"/>
      <top/>
      <bottom/>
      <diagonal/>
    </border>
    <border diagonalUp="false" diagonalDown="false">
      <left style="thin"/>
      <right style="thin"/>
      <top style="thin"/>
      <bottom style="medium"/>
      <diagonal/>
    </border>
    <border diagonalUp="false" diagonalDown="false">
      <left style="thin"/>
      <right style="thin">
        <color theme="0"/>
      </right>
      <top style="thin"/>
      <bottom style="medium"/>
      <diagonal/>
    </border>
    <border diagonalUp="false" diagonalDown="false">
      <left style="thin">
        <color theme="0"/>
      </left>
      <right style="thin">
        <color theme="0"/>
      </right>
      <top style="thin"/>
      <bottom style="mediu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medium"/>
      <bottom style="medium"/>
      <diagonal/>
    </border>
    <border diagonalUp="false" diagonalDown="false">
      <left/>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n"/>
      <right style="thin"/>
      <top style="thin"/>
      <bottom/>
      <diagonal/>
    </border>
    <border diagonalUp="false" diagonalDown="false">
      <left/>
      <right/>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thin">
        <color theme="0"/>
      </left>
      <right/>
      <top style="thin">
        <color theme="0"/>
      </top>
      <bottom/>
      <diagonal/>
    </border>
    <border diagonalUp="false" diagonalDown="false">
      <left style="thin">
        <color theme="0" tint="-0.25"/>
      </left>
      <right/>
      <top style="thin">
        <color theme="0" tint="-0.25"/>
      </top>
      <bottom/>
      <diagonal/>
    </border>
    <border diagonalUp="false" diagonalDown="false">
      <left/>
      <right/>
      <top style="thin">
        <color theme="0" tint="-0.25"/>
      </top>
      <bottom/>
      <diagonal/>
    </border>
    <border diagonalUp="false" diagonalDown="false">
      <left/>
      <right/>
      <top style="thin">
        <color theme="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cellStyleXfs>
  <cellXfs count="1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bottom" textRotation="0" wrapText="true" indent="0" shrinkToFit="false"/>
      <protection locked="true" hidden="false"/>
    </xf>
    <xf numFmtId="164" fontId="0" fillId="2" borderId="4" xfId="0" applyFont="false" applyBorder="true" applyAlignment="true" applyProtection="true">
      <alignment horizontal="center" vertical="bottom" textRotation="0" wrapText="true" indent="0" shrinkToFit="false"/>
      <protection locked="true" hidden="false"/>
    </xf>
    <xf numFmtId="164" fontId="0" fillId="2" borderId="5"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center" vertical="bottom" textRotation="0" wrapText="true" indent="0" shrinkToFit="false"/>
      <protection locked="true" hidden="false"/>
    </xf>
    <xf numFmtId="164" fontId="7" fillId="0" borderId="6" xfId="0" applyFont="true" applyBorder="true" applyAlignment="true" applyProtection="true">
      <alignment horizontal="general" vertical="center"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8" fillId="0" borderId="7"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true" hidden="false"/>
    </xf>
    <xf numFmtId="164" fontId="0" fillId="0" borderId="3" xfId="0" applyFont="false" applyBorder="true" applyAlignment="true" applyProtection="true">
      <alignment horizontal="center" vertical="bottom" textRotation="0" wrapText="true" indent="0" shrinkToFit="false"/>
      <protection locked="true" hidden="false"/>
    </xf>
    <xf numFmtId="164" fontId="0" fillId="0" borderId="8" xfId="0" applyFont="true" applyBorder="true" applyAlignment="true" applyProtection="true">
      <alignment horizontal="left" vertical="center" textRotation="0" wrapText="true" indent="0" shrinkToFit="false"/>
      <protection locked="true" hidden="false"/>
    </xf>
    <xf numFmtId="164" fontId="0" fillId="0" borderId="7" xfId="0" applyFont="true" applyBorder="true" applyAlignment="true" applyProtection="true">
      <alignment horizontal="center" vertical="bottom" textRotation="0" wrapText="false" indent="0" shrinkToFit="false"/>
      <protection locked="true" hidden="false"/>
    </xf>
    <xf numFmtId="165" fontId="0"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false" applyBorder="true" applyAlignment="true" applyProtection="true">
      <alignment horizontal="general" vertical="center" textRotation="0" wrapText="true" indent="0" shrinkToFit="false"/>
      <protection locked="true" hidden="false"/>
    </xf>
    <xf numFmtId="166" fontId="0" fillId="0" borderId="7" xfId="0" applyFont="false" applyBorder="true" applyAlignment="true" applyProtection="true">
      <alignment horizontal="general" vertical="center" textRotation="0" wrapText="true" indent="0" shrinkToFit="false"/>
      <protection locked="true" hidden="false"/>
    </xf>
    <xf numFmtId="164" fontId="0" fillId="0" borderId="4" xfId="0" applyFont="false" applyBorder="true" applyAlignment="true" applyProtection="true">
      <alignment horizontal="center" vertical="bottom" textRotation="0" wrapText="true" indent="0" shrinkToFit="false"/>
      <protection locked="true" hidden="false"/>
    </xf>
    <xf numFmtId="164" fontId="0" fillId="0" borderId="1" xfId="0" applyFont="false" applyBorder="true" applyAlignment="true" applyProtection="true">
      <alignment horizontal="center" vertical="bottom" textRotation="0" wrapText="true" indent="0" shrinkToFit="false"/>
      <protection locked="true" hidden="false"/>
    </xf>
    <xf numFmtId="164" fontId="10" fillId="0" borderId="9" xfId="0" applyFont="true" applyBorder="true" applyAlignment="true" applyProtection="true">
      <alignment horizontal="left" vertical="center" textRotation="0" wrapText="tru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tru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left" vertical="center" textRotation="0" wrapText="true" indent="0" shrinkToFit="false"/>
      <protection locked="true" hidden="false"/>
    </xf>
    <xf numFmtId="164" fontId="11" fillId="0" borderId="7" xfId="0" applyFont="true" applyBorder="true" applyAlignment="true" applyProtection="true">
      <alignment horizontal="general" vertical="bottom" textRotation="0" wrapText="true" indent="0" shrinkToFit="false"/>
      <protection locked="true" hidden="false"/>
    </xf>
    <xf numFmtId="164" fontId="12" fillId="0" borderId="9"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general" vertical="bottom" textRotation="0" wrapText="false" indent="0" shrinkToFit="false"/>
      <protection locked="true" hidden="false"/>
    </xf>
    <xf numFmtId="166" fontId="0" fillId="0" borderId="6" xfId="0" applyFont="false" applyBorder="true" applyAlignment="true" applyProtection="true">
      <alignment horizontal="general" vertical="bottom" textRotation="0" wrapText="false" indent="0" shrinkToFit="false"/>
      <protection locked="true" hidden="false"/>
    </xf>
    <xf numFmtId="164" fontId="8" fillId="0" borderId="12"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true" applyAlignment="true" applyProtection="true">
      <alignment horizontal="center" vertical="center" textRotation="0" wrapText="true" indent="0" shrinkToFit="false"/>
      <protection locked="true" hidden="false"/>
    </xf>
    <xf numFmtId="164" fontId="12" fillId="0" borderId="7" xfId="0" applyFont="true" applyBorder="true" applyAlignment="true" applyProtection="true">
      <alignment horizontal="general" vertical="center" textRotation="0" wrapText="false" indent="0" shrinkToFit="false"/>
      <protection locked="true" hidden="false"/>
    </xf>
    <xf numFmtId="164" fontId="8" fillId="0" borderId="7" xfId="0" applyFont="true" applyBorder="true" applyAlignment="true" applyProtection="true">
      <alignment horizontal="general" vertical="bottom" textRotation="0" wrapText="false" indent="0" shrinkToFit="false"/>
      <protection locked="true" hidden="false"/>
    </xf>
    <xf numFmtId="164" fontId="13" fillId="0" borderId="13"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left" vertical="bottom" textRotation="0" wrapText="true" indent="0" shrinkToFit="false"/>
      <protection locked="true" hidden="false"/>
    </xf>
    <xf numFmtId="164" fontId="0" fillId="0" borderId="4"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12"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0" fillId="2" borderId="15" xfId="0" applyFont="false" applyBorder="true" applyAlignment="true" applyProtection="true">
      <alignment horizontal="general" vertical="center" textRotation="0" wrapText="true" indent="0" shrinkToFit="false"/>
      <protection locked="true" hidden="false"/>
    </xf>
    <xf numFmtId="164" fontId="0" fillId="2" borderId="2" xfId="0" applyFont="false" applyBorder="true" applyAlignment="true" applyProtection="true">
      <alignment horizontal="general" vertical="bottom" textRotation="0" wrapText="false" indent="0" shrinkToFit="false"/>
      <protection locked="true" hidden="false"/>
    </xf>
    <xf numFmtId="164" fontId="0" fillId="2" borderId="14" xfId="0" applyFont="false" applyBorder="true" applyAlignment="true" applyProtection="true">
      <alignment horizontal="general" vertical="bottom" textRotation="0" wrapText="false" indent="0" shrinkToFit="false"/>
      <protection locked="true" hidden="false"/>
    </xf>
    <xf numFmtId="164" fontId="12"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center" vertical="center" textRotation="0" wrapText="tru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center" vertical="center" textRotation="0" wrapText="tru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5" fontId="15" fillId="0" borderId="7" xfId="0" applyFont="true" applyBorder="true" applyAlignment="true" applyProtection="true">
      <alignment horizontal="center" vertical="bottom" textRotation="0" wrapText="false" indent="0" shrinkToFit="false"/>
      <protection locked="true" hidden="false"/>
    </xf>
    <xf numFmtId="164" fontId="10" fillId="0" borderId="12" xfId="0" applyFont="true" applyBorder="true" applyAlignment="true" applyProtection="true">
      <alignment horizontal="center" vertical="bottom"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5" fontId="14" fillId="0" borderId="12" xfId="0" applyFont="true" applyBorder="true" applyAlignment="true" applyProtection="true">
      <alignment horizontal="center" vertical="bottom" textRotation="0" wrapText="false" indent="0" shrinkToFit="false"/>
      <protection locked="true" hidden="false"/>
    </xf>
    <xf numFmtId="164" fontId="14" fillId="0" borderId="12" xfId="0" applyFont="true" applyBorder="true" applyAlignment="true" applyProtection="true">
      <alignment horizontal="center" vertical="bottom"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center" vertical="bottom" textRotation="0" wrapText="true" indent="0" shrinkToFit="false"/>
      <protection locked="true" hidden="false"/>
    </xf>
    <xf numFmtId="165" fontId="14" fillId="0" borderId="17"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general" vertical="bottom" textRotation="0" wrapText="false" indent="0" shrinkToFit="false"/>
      <protection locked="true" hidden="false"/>
    </xf>
    <xf numFmtId="164" fontId="10" fillId="0" borderId="12" xfId="0" applyFont="true" applyBorder="tru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general" vertical="bottom" textRotation="0" wrapText="false" indent="0" shrinkToFit="false"/>
      <protection locked="true" hidden="false"/>
    </xf>
    <xf numFmtId="164" fontId="14" fillId="0" borderId="12" xfId="0" applyFont="true" applyBorder="true" applyAlignment="true" applyProtection="true">
      <alignment horizontal="general" vertical="bottom" textRotation="0" wrapText="false" indent="0" shrinkToFit="false"/>
      <protection locked="true" hidden="false"/>
    </xf>
    <xf numFmtId="164" fontId="10" fillId="0" borderId="18" xfId="0" applyFont="true" applyBorder="true" applyAlignment="true" applyProtection="true">
      <alignment horizontal="left" vertical="center" textRotation="0" wrapText="true" indent="0" shrinkToFit="false"/>
      <protection locked="true" hidden="false"/>
    </xf>
    <xf numFmtId="164" fontId="0" fillId="2" borderId="4" xfId="0" applyFont="false" applyBorder="true" applyAlignment="true" applyProtection="true">
      <alignment horizontal="general" vertical="bottom" textRotation="0" wrapText="false" indent="0" shrinkToFit="false"/>
      <protection locked="true" hidden="false"/>
    </xf>
    <xf numFmtId="164" fontId="8" fillId="0" borderId="9" xfId="0" applyFont="tru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center" vertical="bottom" textRotation="0" wrapText="false" indent="0" shrinkToFit="false"/>
      <protection locked="true" hidden="false"/>
    </xf>
    <xf numFmtId="164" fontId="0" fillId="0" borderId="19" xfId="0" applyFont="fals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0" fillId="2" borderId="2" xfId="0" applyFont="false" applyBorder="true" applyAlignment="true" applyProtection="true">
      <alignment horizontal="general" vertical="center" textRotation="0" wrapText="true" indent="0" shrinkToFit="false"/>
      <protection locked="true" hidden="false"/>
    </xf>
    <xf numFmtId="164" fontId="8" fillId="0" borderId="21" xfId="0" applyFont="true" applyBorder="true" applyAlignment="true" applyProtection="true">
      <alignment horizontal="general" vertical="bottom" textRotation="0" wrapText="false" indent="0" shrinkToFit="false"/>
      <protection locked="true" hidden="false"/>
    </xf>
    <xf numFmtId="164" fontId="8" fillId="0" borderId="22" xfId="0" applyFont="true" applyBorder="true" applyAlignment="true" applyProtection="true">
      <alignment horizontal="general" vertical="bottom" textRotation="0" wrapText="false" indent="0" shrinkToFit="false"/>
      <protection locked="true" hidden="false"/>
    </xf>
    <xf numFmtId="164" fontId="8" fillId="0" borderId="23" xfId="0" applyFont="true" applyBorder="true" applyAlignment="true" applyProtection="true">
      <alignment horizontal="general" vertical="bottom" textRotation="0" wrapText="false" indent="0" shrinkToFit="false"/>
      <protection locked="true" hidden="false"/>
    </xf>
    <xf numFmtId="164" fontId="16" fillId="0" borderId="23" xfId="0" applyFont="true" applyBorder="true" applyAlignment="true" applyProtection="true">
      <alignment horizontal="general" vertical="bottom" textRotation="0" wrapText="false" indent="0" shrinkToFit="false"/>
      <protection locked="true" hidden="false"/>
    </xf>
    <xf numFmtId="164" fontId="0" fillId="2" borderId="8" xfId="0" applyFont="false" applyBorder="true" applyAlignment="true" applyProtection="true">
      <alignment horizontal="general" vertical="center" textRotation="0" wrapText="tru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18" fillId="2" borderId="7" xfId="0" applyFont="true" applyBorder="true" applyAlignment="true" applyProtection="true">
      <alignment horizontal="general" vertical="bottom" textRotation="0" wrapText="false" indent="0" shrinkToFit="false"/>
      <protection locked="true" hidden="false"/>
    </xf>
    <xf numFmtId="164" fontId="18" fillId="2" borderId="12"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19" fillId="2" borderId="0" xfId="0" applyFont="true" applyBorder="false" applyAlignment="true" applyProtection="true">
      <alignment horizontal="general" vertical="bottom" textRotation="0" wrapText="true" indent="0" shrinkToFit="false"/>
      <protection locked="true" hidden="false"/>
    </xf>
    <xf numFmtId="164" fontId="0" fillId="2" borderId="3"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18" fillId="0" borderId="24" xfId="0" applyFont="true" applyBorder="true" applyAlignment="true" applyProtection="true">
      <alignment horizontal="center" vertical="center" textRotation="0" wrapText="true" indent="0" shrinkToFit="false"/>
      <protection locked="true" hidden="false"/>
    </xf>
    <xf numFmtId="164" fontId="18" fillId="0" borderId="25" xfId="0" applyFont="true" applyBorder="true" applyAlignment="true" applyProtection="true">
      <alignment horizontal="center" vertical="center" textRotation="0" wrapText="true" indent="0" shrinkToFit="false"/>
      <protection locked="true" hidden="false"/>
    </xf>
    <xf numFmtId="164" fontId="18" fillId="0" borderId="26" xfId="0" applyFont="true" applyBorder="true" applyAlignment="true" applyProtection="true">
      <alignment horizontal="center" vertical="center" textRotation="0" wrapText="true" indent="0" shrinkToFit="false"/>
      <protection locked="true" hidden="false"/>
    </xf>
    <xf numFmtId="164" fontId="18" fillId="0" borderId="27" xfId="0" applyFont="true" applyBorder="true" applyAlignment="true" applyProtection="true">
      <alignment horizontal="center" vertical="center" textRotation="90" wrapText="false" indent="0" shrinkToFit="false"/>
      <protection locked="true" hidden="false"/>
    </xf>
    <xf numFmtId="164" fontId="18" fillId="0" borderId="28" xfId="0" applyFont="true" applyBorder="true" applyAlignment="true" applyProtection="true">
      <alignment horizontal="center" vertical="center" textRotation="90" wrapText="true" indent="0" shrinkToFit="false"/>
      <protection locked="true" hidden="false"/>
    </xf>
    <xf numFmtId="164" fontId="18" fillId="0" borderId="29" xfId="0" applyFont="true" applyBorder="true" applyAlignment="true" applyProtection="true">
      <alignment horizontal="general" vertical="bottom" textRotation="0" wrapText="false" indent="0" shrinkToFit="false"/>
      <protection locked="true" hidden="false"/>
    </xf>
    <xf numFmtId="164" fontId="10" fillId="0" borderId="29" xfId="0" applyFont="true" applyBorder="true" applyAlignment="true" applyProtection="true">
      <alignment horizontal="general" vertical="bottom" textRotation="0" wrapText="false" indent="0" shrinkToFit="false"/>
      <protection locked="true" hidden="false"/>
    </xf>
    <xf numFmtId="164" fontId="10" fillId="0" borderId="30" xfId="0" applyFont="true" applyBorder="true" applyAlignment="true" applyProtection="true">
      <alignment horizontal="general" vertical="bottom" textRotation="0" wrapText="false" indent="0" shrinkToFit="false"/>
      <protection locked="true" hidden="false"/>
    </xf>
    <xf numFmtId="164" fontId="10" fillId="0" borderId="3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8" fillId="0" borderId="32" xfId="0" applyFont="true" applyBorder="true" applyAlignment="true" applyProtection="true">
      <alignment horizontal="general" vertical="bottom" textRotation="0" wrapText="false" indent="0" shrinkToFit="false"/>
      <protection locked="true" hidden="false"/>
    </xf>
    <xf numFmtId="164" fontId="10" fillId="0" borderId="32" xfId="0" applyFont="true" applyBorder="true" applyAlignment="true" applyProtection="true">
      <alignment horizontal="general" vertical="bottom" textRotation="0" wrapText="false" indent="0" shrinkToFit="false"/>
      <protection locked="true" hidden="false"/>
    </xf>
    <xf numFmtId="164" fontId="10" fillId="0" borderId="33" xfId="0" applyFont="true" applyBorder="true" applyAlignment="true" applyProtection="true">
      <alignment horizontal="general" vertical="bottom" textRotation="0" wrapText="false" indent="0" shrinkToFit="false"/>
      <protection locked="true" hidden="false"/>
    </xf>
    <xf numFmtId="164" fontId="18" fillId="0" borderId="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right" vertical="center" textRotation="0" wrapText="true" indent="0" shrinkToFit="false"/>
      <protection locked="true" hidden="false"/>
    </xf>
    <xf numFmtId="164" fontId="10" fillId="0" borderId="7" xfId="0" applyFont="true" applyBorder="true" applyAlignment="true" applyProtection="true">
      <alignment horizontal="general" vertical="bottom" textRotation="0" wrapText="false" indent="0" shrinkToFit="false"/>
      <protection locked="true" hidden="false"/>
    </xf>
    <xf numFmtId="167" fontId="10" fillId="0" borderId="7" xfId="0" applyFont="true" applyBorder="true" applyAlignment="true" applyProtection="true">
      <alignment horizontal="general" vertical="bottom" textRotation="0" wrapText="false" indent="0" shrinkToFit="false"/>
      <protection locked="true" hidden="false"/>
    </xf>
    <xf numFmtId="164" fontId="20" fillId="0" borderId="7" xfId="0" applyFont="true" applyBorder="true" applyAlignment="true" applyProtection="true">
      <alignment horizontal="general" vertical="bottom" textRotation="0" wrapText="false" indent="0" shrinkToFit="false"/>
      <protection locked="true" hidden="false"/>
    </xf>
    <xf numFmtId="164" fontId="10" fillId="0" borderId="34" xfId="0" applyFont="true" applyBorder="true" applyAlignment="true" applyProtection="true">
      <alignment horizontal="general" vertical="bottom" textRotation="0" wrapText="false" indent="0" shrinkToFit="false"/>
      <protection locked="true" hidden="false"/>
    </xf>
    <xf numFmtId="167" fontId="18" fillId="0" borderId="7" xfId="0" applyFont="true" applyBorder="true" applyAlignment="true" applyProtection="true">
      <alignment horizontal="general" vertical="bottom" textRotation="0" wrapText="false" indent="0" shrinkToFit="false"/>
      <protection locked="true" hidden="false"/>
    </xf>
    <xf numFmtId="164" fontId="18" fillId="0" borderId="7" xfId="0" applyFont="true" applyBorder="true" applyAlignment="true" applyProtection="true">
      <alignment horizontal="general" vertical="bottom" textRotation="0" wrapText="false" indent="0" shrinkToFit="false"/>
      <protection locked="true" hidden="false"/>
    </xf>
    <xf numFmtId="167" fontId="18" fillId="0" borderId="17" xfId="0" applyFont="true" applyBorder="true" applyAlignment="true" applyProtection="true">
      <alignment horizontal="general" vertical="bottom" textRotation="0" wrapText="false" indent="0" shrinkToFit="false"/>
      <protection locked="true" hidden="false"/>
    </xf>
    <xf numFmtId="164" fontId="10" fillId="0" borderId="9" xfId="0" applyFont="true" applyBorder="true" applyAlignment="true" applyProtection="true">
      <alignment horizontal="right" vertical="bottom" textRotation="0" wrapText="false" indent="0" shrinkToFit="false"/>
      <protection locked="true" hidden="false"/>
    </xf>
    <xf numFmtId="167" fontId="0" fillId="0" borderId="7" xfId="19" applyFont="true" applyBorder="true" applyAlignment="true" applyProtection="true">
      <alignment horizontal="general" vertical="bottom" textRotation="0" wrapText="false" indent="0" shrinkToFit="false"/>
      <protection locked="true" hidden="false"/>
    </xf>
    <xf numFmtId="167" fontId="0" fillId="0" borderId="34" xfId="19" applyFont="true" applyBorder="true" applyAlignment="true" applyProtection="true">
      <alignment horizontal="general" vertical="bottom" textRotation="0" wrapText="false" indent="0" shrinkToFit="false"/>
      <protection locked="true" hidden="false"/>
    </xf>
    <xf numFmtId="167" fontId="8" fillId="0" borderId="7" xfId="19" applyFont="true" applyBorder="true" applyAlignment="true" applyProtection="true">
      <alignment horizontal="general" vertical="bottom" textRotation="0" wrapText="false" indent="0" shrinkToFit="false"/>
      <protection locked="true" hidden="false"/>
    </xf>
    <xf numFmtId="164" fontId="0" fillId="0" borderId="33" xfId="0" applyFont="false" applyBorder="true" applyAlignment="true" applyProtection="true">
      <alignment horizontal="general" vertical="bottom" textRotation="0" wrapText="false" indent="0" shrinkToFit="false"/>
      <protection locked="true" hidden="false"/>
    </xf>
    <xf numFmtId="164" fontId="18" fillId="0" borderId="35" xfId="0" applyFont="true" applyBorder="true" applyAlignment="true" applyProtection="true">
      <alignment horizontal="center" vertical="center" textRotation="90" wrapText="true" indent="0" shrinkToFit="false"/>
      <protection locked="true" hidden="false"/>
    </xf>
    <xf numFmtId="164" fontId="18" fillId="0" borderId="36" xfId="0" applyFont="true" applyBorder="true" applyAlignment="true" applyProtection="true">
      <alignment horizontal="general" vertical="bottom" textRotation="0" wrapText="false" indent="0" shrinkToFit="false"/>
      <protection locked="true" hidden="false"/>
    </xf>
    <xf numFmtId="164" fontId="10" fillId="0" borderId="36" xfId="0" applyFont="true" applyBorder="true" applyAlignment="true" applyProtection="true">
      <alignment horizontal="general" vertical="bottom" textRotation="0" wrapText="false" indent="0" shrinkToFit="false"/>
      <protection locked="true" hidden="false"/>
    </xf>
    <xf numFmtId="164" fontId="10" fillId="0" borderId="35" xfId="0" applyFont="true" applyBorder="true" applyAlignment="true" applyProtection="true">
      <alignment horizontal="general" vertical="bottom" textRotation="0" wrapText="false" indent="0" shrinkToFit="false"/>
      <protection locked="true" hidden="false"/>
    </xf>
    <xf numFmtId="164" fontId="10" fillId="0" borderId="37" xfId="0" applyFont="true" applyBorder="true" applyAlignment="true" applyProtection="true">
      <alignment horizontal="general" vertical="bottom" textRotation="0" wrapText="false" indent="0" shrinkToFit="false"/>
      <protection locked="true" hidden="false"/>
    </xf>
    <xf numFmtId="164" fontId="18" fillId="0" borderId="3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8" fillId="0" borderId="27" xfId="0" applyFont="true" applyBorder="true" applyAlignment="true" applyProtection="true">
      <alignment horizontal="general" vertical="bottom" textRotation="0" wrapText="false" indent="0" shrinkToFit="false"/>
      <protection locked="true" hidden="false"/>
    </xf>
    <xf numFmtId="164" fontId="18" fillId="0" borderId="38" xfId="0" applyFont="true" applyBorder="true" applyAlignment="true" applyProtection="true">
      <alignment horizontal="general" vertical="bottom" textRotation="0" wrapText="false" indent="0" shrinkToFit="false"/>
      <protection locked="true" hidden="false"/>
    </xf>
    <xf numFmtId="164" fontId="18" fillId="0" borderId="31" xfId="0" applyFont="true" applyBorder="true" applyAlignment="true" applyProtection="true">
      <alignment horizontal="general" vertical="bottom" textRotation="0" wrapText="false" indent="0" shrinkToFit="false"/>
      <protection locked="true" hidden="false"/>
    </xf>
    <xf numFmtId="164" fontId="18" fillId="0" borderId="39" xfId="0" applyFont="true" applyBorder="true" applyAlignment="true" applyProtection="true">
      <alignment horizontal="center" vertical="bottom" textRotation="0" wrapText="false" indent="0" shrinkToFit="false"/>
      <protection locked="true" hidden="false"/>
    </xf>
    <xf numFmtId="164" fontId="18" fillId="0" borderId="40" xfId="0" applyFont="true" applyBorder="true" applyAlignment="true" applyProtection="true">
      <alignment horizontal="general" vertical="bottom" textRotation="0" wrapText="false" indent="0" shrinkToFit="false"/>
      <protection locked="true" hidden="false"/>
    </xf>
    <xf numFmtId="164" fontId="18" fillId="0" borderId="41" xfId="0" applyFont="true" applyBorder="true" applyAlignment="true" applyProtection="true">
      <alignment horizontal="center" vertical="bottom" textRotation="0" wrapText="false" indent="0" shrinkToFit="false"/>
      <protection locked="true" hidden="false"/>
    </xf>
    <xf numFmtId="164" fontId="18" fillId="0" borderId="42" xfId="0" applyFont="true" applyBorder="tru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general" vertical="bottom" textRotation="0" wrapText="false" indent="0" shrinkToFit="false"/>
      <protection locked="true" hidden="false"/>
    </xf>
    <xf numFmtId="164" fontId="15" fillId="5" borderId="0" xfId="0" applyFont="true" applyBorder="false" applyAlignment="true" applyProtection="true">
      <alignment horizontal="general" vertical="bottom" textRotation="0" wrapText="false" indent="0" shrinkToFit="false"/>
      <protection locked="true" hidden="false"/>
    </xf>
    <xf numFmtId="166" fontId="15" fillId="5"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8" fontId="9" fillId="0" borderId="1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8" fontId="0" fillId="5" borderId="0" xfId="0" applyFont="false" applyBorder="false" applyAlignment="true" applyProtection="true">
      <alignment horizontal="general" vertical="bottom" textRotation="0" wrapText="false" indent="0" shrinkToFit="false"/>
      <protection locked="true" hidden="false"/>
    </xf>
    <xf numFmtId="168" fontId="8" fillId="0" borderId="40" xfId="0" applyFont="true" applyBorder="tru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2" fillId="2" borderId="0" xfId="0" applyFont="true" applyBorder="false" applyAlignment="true" applyProtection="true">
      <alignment horizontal="left" vertical="center" textRotation="0" wrapText="false" indent="0" shrinkToFit="false"/>
      <protection locked="true" hidden="false"/>
    </xf>
    <xf numFmtId="164" fontId="23" fillId="2" borderId="0" xfId="0" applyFont="true" applyBorder="false" applyAlignment="true" applyProtection="true">
      <alignment horizontal="left" vertical="center" textRotation="0" wrapText="false" indent="0" shrinkToFit="false"/>
      <protection locked="true" hidden="false"/>
    </xf>
    <xf numFmtId="164" fontId="24" fillId="2" borderId="0" xfId="0" applyFont="true" applyBorder="false" applyAlignment="true" applyProtection="true">
      <alignment horizontal="left" vertical="center"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7" fillId="0" borderId="3" xfId="0" applyFont="true" applyBorder="true" applyAlignment="true" applyProtection="true">
      <alignment horizontal="left" vertical="center" textRotation="0" wrapText="true" indent="0" shrinkToFit="false"/>
      <protection locked="true" hidden="false"/>
    </xf>
    <xf numFmtId="164" fontId="27" fillId="0" borderId="5" xfId="0" applyFont="true" applyBorder="true" applyAlignment="true" applyProtection="true">
      <alignment horizontal="general" vertical="bottom" textRotation="0" wrapText="false" indent="0" shrinkToFit="false"/>
      <protection locked="true" hidden="false"/>
    </xf>
    <xf numFmtId="164" fontId="26" fillId="0" borderId="3" xfId="0" applyFont="true" applyBorder="true" applyAlignment="true" applyProtection="true">
      <alignment horizontal="general" vertical="bottom" textRotation="0" wrapText="false" indent="0" shrinkToFit="false"/>
      <protection locked="true" hidden="false"/>
    </xf>
    <xf numFmtId="164" fontId="26" fillId="0" borderId="43" xfId="0" applyFont="true" applyBorder="true" applyAlignment="true" applyProtection="true">
      <alignment horizontal="general" vertical="bottom" textRotation="0" wrapText="false" indent="0" shrinkToFit="false"/>
      <protection locked="true" hidden="false"/>
    </xf>
    <xf numFmtId="164" fontId="26" fillId="0" borderId="10" xfId="0" applyFont="true" applyBorder="true" applyAlignment="true" applyProtection="true">
      <alignment horizontal="general" vertical="bottom" textRotation="0" wrapText="false" indent="0" shrinkToFit="false"/>
      <protection locked="true" hidden="false"/>
    </xf>
    <xf numFmtId="164" fontId="8" fillId="0" borderId="44" xfId="0" applyFont="true" applyBorder="true" applyAlignment="true" applyProtection="true">
      <alignment horizontal="center" vertical="center" textRotation="0" wrapText="true" indent="0" shrinkToFit="false"/>
      <protection locked="true" hidden="false"/>
    </xf>
    <xf numFmtId="164" fontId="8" fillId="0" borderId="45"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404040"/>
      <rgbColor rgb="FF993300"/>
      <rgbColor rgb="FF993366"/>
      <rgbColor rgb="FF334047"/>
      <rgbColor rgb="FF3C3C3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247680</xdr:colOff>
      <xdr:row>0</xdr:row>
      <xdr:rowOff>181080</xdr:rowOff>
    </xdr:from>
    <xdr:to>
      <xdr:col>17</xdr:col>
      <xdr:colOff>290880</xdr:colOff>
      <xdr:row>5</xdr:row>
      <xdr:rowOff>154080</xdr:rowOff>
    </xdr:to>
    <xdr:pic>
      <xdr:nvPicPr>
        <xdr:cNvPr id="1" name="Picture 1"/>
        <xdr:cNvPicPr/>
      </xdr:nvPicPr>
      <xdr:blipFill>
        <a:blip r:embed="rId1"/>
        <a:stretch/>
      </xdr:blipFill>
      <xdr:spPr>
        <a:xfrm>
          <a:off x="12153240" y="181080"/>
          <a:ext cx="1266120" cy="1260000"/>
        </a:xfrm>
        <a:prstGeom prst="rect">
          <a:avLst/>
        </a:prstGeom>
        <a:noFill/>
        <a:ln w="0">
          <a:noFill/>
        </a:ln>
      </xdr:spPr>
    </xdr:pic>
    <xdr:clientData/>
  </xdr:twoCellAnchor>
  <xdr:twoCellAnchor editAs="oneCell">
    <xdr:from>
      <xdr:col>1</xdr:col>
      <xdr:colOff>419040</xdr:colOff>
      <xdr:row>24</xdr:row>
      <xdr:rowOff>46440</xdr:rowOff>
    </xdr:from>
    <xdr:to>
      <xdr:col>17</xdr:col>
      <xdr:colOff>51480</xdr:colOff>
      <xdr:row>32</xdr:row>
      <xdr:rowOff>127800</xdr:rowOff>
    </xdr:to>
    <xdr:pic>
      <xdr:nvPicPr>
        <xdr:cNvPr id="2" name="Picture 2"/>
        <xdr:cNvPicPr/>
      </xdr:nvPicPr>
      <xdr:blipFill>
        <a:blip r:embed="rId2"/>
        <a:stretch/>
      </xdr:blipFill>
      <xdr:spPr>
        <a:xfrm>
          <a:off x="1030680" y="4953240"/>
          <a:ext cx="12149280" cy="160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12"/>
  <sheetViews>
    <sheetView showFormulas="false" showGridLines="false" showRowColHeaders="true" showZeros="true" rightToLeft="false" tabSelected="true" showOutlineSymbols="true" defaultGridColor="true" view="normal" topLeftCell="A34" colorId="64" zoomScale="115" zoomScaleNormal="115" zoomScalePageLayoutView="100" workbookViewId="0">
      <selection pane="topLeft" activeCell="E49" activeCellId="0" sqref="E49"/>
    </sheetView>
  </sheetViews>
  <sheetFormatPr defaultColWidth="8.6796875" defaultRowHeight="15" customHeight="true" zeroHeight="false" outlineLevelRow="0" outlineLevelCol="0"/>
  <cols>
    <col collapsed="false" customWidth="true" hidden="false" outlineLevel="0" max="1" min="1" style="1" width="11.85"/>
    <col collapsed="false" customWidth="true" hidden="false" outlineLevel="0" max="2" min="2" style="1" width="54.85"/>
    <col collapsed="false" customWidth="true" hidden="false" outlineLevel="0" max="3" min="3" style="1" width="24.29"/>
    <col collapsed="false" customWidth="true" hidden="false" outlineLevel="0" max="4" min="4" style="1" width="15"/>
    <col collapsed="false" customWidth="true" hidden="false" outlineLevel="0" max="5" min="5" style="1" width="10"/>
    <col collapsed="false" customWidth="true" hidden="false" outlineLevel="0" max="6" min="6" style="1" width="20"/>
    <col collapsed="false" customWidth="true" hidden="false" outlineLevel="0" max="7" min="7" style="1" width="11.14"/>
    <col collapsed="false" customWidth="true" hidden="false" outlineLevel="0" max="8" min="8" style="1" width="22"/>
    <col collapsed="false" customWidth="true" hidden="false" outlineLevel="0" max="14" min="14" style="1" width="4.29"/>
  </cols>
  <sheetData>
    <row r="1" customFormat="false" ht="7.5" hidden="false" customHeight="true" outlineLevel="0" collapsed="false">
      <c r="A1" s="2"/>
      <c r="F1" s="3"/>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customFormat="false" ht="60" hidden="false" customHeight="true" outlineLevel="0" collapsed="false">
      <c r="A2" s="4"/>
      <c r="B2" s="5" t="s">
        <v>0</v>
      </c>
      <c r="F2" s="3"/>
      <c r="G2" s="2"/>
      <c r="H2" s="2"/>
      <c r="I2" s="2"/>
      <c r="J2" s="6"/>
      <c r="K2" s="6"/>
      <c r="L2" s="6"/>
      <c r="M2" s="6"/>
      <c r="N2" s="6"/>
      <c r="O2" s="6"/>
      <c r="P2" s="7"/>
      <c r="Q2" s="7"/>
      <c r="R2" s="2"/>
      <c r="S2" s="2"/>
      <c r="T2" s="2"/>
      <c r="U2" s="2"/>
      <c r="V2" s="2"/>
      <c r="W2" s="2"/>
      <c r="X2" s="2"/>
      <c r="Y2" s="2"/>
      <c r="Z2" s="2"/>
      <c r="AA2" s="2"/>
      <c r="AB2" s="2"/>
      <c r="AC2" s="2"/>
      <c r="AD2" s="2"/>
      <c r="AE2" s="2"/>
      <c r="AF2" s="2"/>
      <c r="AG2" s="2"/>
      <c r="AH2" s="2"/>
      <c r="AI2" s="2"/>
      <c r="AJ2" s="2"/>
      <c r="AK2" s="2"/>
      <c r="AL2" s="2"/>
      <c r="AM2" s="2"/>
      <c r="AN2" s="2"/>
      <c r="AO2" s="2"/>
      <c r="AP2" s="2"/>
    </row>
    <row r="3" customFormat="false" ht="220.5" hidden="false" customHeight="true" outlineLevel="0" collapsed="false">
      <c r="A3" s="4"/>
      <c r="B3" s="8" t="s">
        <v>1</v>
      </c>
      <c r="C3" s="8"/>
      <c r="D3" s="8"/>
      <c r="E3" s="8"/>
      <c r="F3" s="8"/>
      <c r="G3" s="8"/>
      <c r="H3" s="3"/>
      <c r="I3" s="2"/>
      <c r="J3" s="9"/>
      <c r="K3" s="9"/>
      <c r="L3" s="10"/>
      <c r="M3" s="9"/>
      <c r="N3" s="9"/>
      <c r="O3" s="11"/>
      <c r="P3" s="7"/>
      <c r="Q3" s="7"/>
      <c r="R3" s="2"/>
      <c r="S3" s="2"/>
      <c r="T3" s="2"/>
      <c r="U3" s="2"/>
      <c r="V3" s="2"/>
      <c r="W3" s="2"/>
      <c r="X3" s="2"/>
      <c r="Y3" s="2"/>
      <c r="Z3" s="2"/>
      <c r="AA3" s="2"/>
      <c r="AB3" s="2"/>
      <c r="AC3" s="2"/>
      <c r="AD3" s="2"/>
      <c r="AE3" s="2"/>
      <c r="AF3" s="2"/>
      <c r="AG3" s="2"/>
      <c r="AH3" s="2"/>
      <c r="AI3" s="2"/>
      <c r="AJ3" s="2"/>
      <c r="AK3" s="2"/>
      <c r="AL3" s="2"/>
      <c r="AM3" s="2"/>
      <c r="AN3" s="2"/>
      <c r="AO3" s="2"/>
      <c r="AP3" s="2"/>
    </row>
    <row r="4" customFormat="false" ht="60" hidden="false" customHeight="true" outlineLevel="0" collapsed="false">
      <c r="A4" s="4"/>
      <c r="B4" s="12" t="s">
        <v>2</v>
      </c>
      <c r="C4" s="13"/>
      <c r="I4" s="2"/>
      <c r="J4" s="9"/>
      <c r="K4" s="9"/>
      <c r="L4" s="9"/>
      <c r="M4" s="9"/>
      <c r="N4" s="9"/>
      <c r="O4" s="11"/>
      <c r="P4" s="7"/>
      <c r="Q4" s="7"/>
      <c r="R4" s="2"/>
      <c r="S4" s="2"/>
      <c r="T4" s="2"/>
      <c r="U4" s="2"/>
      <c r="V4" s="2"/>
      <c r="W4" s="2"/>
      <c r="X4" s="2"/>
      <c r="Y4" s="2"/>
      <c r="Z4" s="2"/>
      <c r="AA4" s="2"/>
      <c r="AB4" s="2"/>
      <c r="AC4" s="2"/>
      <c r="AD4" s="2"/>
      <c r="AE4" s="2"/>
      <c r="AF4" s="2"/>
      <c r="AG4" s="2"/>
      <c r="AH4" s="2"/>
      <c r="AI4" s="2"/>
      <c r="AJ4" s="2"/>
      <c r="AK4" s="2"/>
      <c r="AL4" s="2"/>
      <c r="AM4" s="2"/>
      <c r="AN4" s="2"/>
      <c r="AO4" s="2"/>
      <c r="AP4" s="2"/>
    </row>
    <row r="5" customFormat="false" ht="124.5" hidden="false" customHeight="true" outlineLevel="0" collapsed="false">
      <c r="A5" s="14"/>
      <c r="B5" s="15" t="s">
        <v>3</v>
      </c>
      <c r="C5" s="15" t="s">
        <v>4</v>
      </c>
      <c r="D5" s="15" t="s">
        <v>5</v>
      </c>
      <c r="E5" s="15" t="s">
        <v>6</v>
      </c>
      <c r="F5" s="15" t="s">
        <v>7</v>
      </c>
      <c r="G5" s="15" t="s">
        <v>8</v>
      </c>
      <c r="H5" s="16"/>
      <c r="I5" s="2"/>
      <c r="J5" s="17"/>
      <c r="K5" s="17"/>
      <c r="L5" s="17"/>
      <c r="M5" s="17"/>
      <c r="N5" s="17"/>
      <c r="O5" s="17"/>
      <c r="P5" s="2"/>
      <c r="Q5" s="2"/>
      <c r="R5" s="2"/>
      <c r="S5" s="2"/>
      <c r="T5" s="2"/>
      <c r="U5" s="2"/>
      <c r="V5" s="2"/>
      <c r="W5" s="2"/>
      <c r="X5" s="2"/>
      <c r="Y5" s="2"/>
      <c r="Z5" s="2"/>
      <c r="AA5" s="2"/>
      <c r="AB5" s="2"/>
      <c r="AC5" s="2"/>
      <c r="AD5" s="2"/>
      <c r="AE5" s="2"/>
      <c r="AF5" s="2"/>
      <c r="AG5" s="2"/>
      <c r="AH5" s="2"/>
      <c r="AI5" s="2"/>
      <c r="AJ5" s="2"/>
      <c r="AK5" s="2"/>
      <c r="AL5" s="2"/>
      <c r="AM5" s="2"/>
      <c r="AN5" s="2"/>
      <c r="AO5" s="2"/>
      <c r="AP5" s="2"/>
    </row>
    <row r="6" customFormat="false" ht="15" hidden="false" customHeight="true" outlineLevel="0" collapsed="false">
      <c r="A6" s="14"/>
      <c r="B6" s="18" t="s">
        <v>9</v>
      </c>
      <c r="C6" s="19" t="s">
        <v>10</v>
      </c>
      <c r="D6" s="20" t="n">
        <v>45705</v>
      </c>
      <c r="E6" s="21" t="n">
        <v>4</v>
      </c>
      <c r="F6" s="1" t="n">
        <v>0</v>
      </c>
      <c r="G6" s="22" t="n">
        <f aca="false">IF(NOT(ISBLANK(D6)), SUM(E6:F6), 0)</f>
        <v>4</v>
      </c>
      <c r="H6" s="16"/>
      <c r="I6" s="2"/>
      <c r="J6" s="23"/>
      <c r="K6" s="23"/>
      <c r="L6" s="23"/>
      <c r="M6" s="23"/>
      <c r="N6" s="23"/>
      <c r="O6" s="24"/>
      <c r="P6" s="2"/>
      <c r="Q6" s="2"/>
      <c r="R6" s="2"/>
      <c r="S6" s="2"/>
      <c r="T6" s="2"/>
      <c r="U6" s="2"/>
      <c r="V6" s="2"/>
      <c r="W6" s="2"/>
      <c r="X6" s="2"/>
      <c r="Y6" s="2"/>
      <c r="Z6" s="2"/>
      <c r="AA6" s="2"/>
      <c r="AB6" s="2"/>
      <c r="AC6" s="2"/>
      <c r="AD6" s="2"/>
      <c r="AE6" s="2"/>
      <c r="AF6" s="2"/>
      <c r="AG6" s="2"/>
      <c r="AH6" s="2"/>
      <c r="AI6" s="2"/>
      <c r="AJ6" s="2"/>
      <c r="AK6" s="2"/>
      <c r="AL6" s="2"/>
      <c r="AM6" s="2"/>
      <c r="AN6" s="2"/>
      <c r="AO6" s="2"/>
      <c r="AP6" s="2"/>
    </row>
    <row r="7" customFormat="false" ht="15" hidden="false" customHeight="false" outlineLevel="0" collapsed="false">
      <c r="A7" s="14"/>
      <c r="B7" s="25" t="s">
        <v>11</v>
      </c>
      <c r="C7" s="19" t="s">
        <v>10</v>
      </c>
      <c r="D7" s="26" t="n">
        <v>45710</v>
      </c>
      <c r="E7" s="27" t="n">
        <v>12</v>
      </c>
      <c r="F7" s="28" t="n">
        <v>12</v>
      </c>
      <c r="G7" s="22" t="n">
        <f aca="false">IF(NOT(ISBLANK(D7)), SUM(E7:F7), 0)</f>
        <v>24</v>
      </c>
      <c r="H7" s="16"/>
      <c r="I7" s="29"/>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customFormat="false" ht="15" hidden="false" customHeight="false" outlineLevel="0" collapsed="false">
      <c r="A8" s="14"/>
      <c r="B8" s="25" t="s">
        <v>12</v>
      </c>
      <c r="C8" s="19" t="s">
        <v>10</v>
      </c>
      <c r="D8" s="26" t="n">
        <v>45756</v>
      </c>
      <c r="E8" s="27" t="n">
        <v>15</v>
      </c>
      <c r="F8" s="28" t="n">
        <v>17</v>
      </c>
      <c r="G8" s="22" t="n">
        <f aca="false">IF(NOT(ISBLANK(D8)), SUM(E8:F8), 0)</f>
        <v>32</v>
      </c>
      <c r="H8" s="16"/>
      <c r="I8" s="29"/>
      <c r="J8" s="14"/>
      <c r="K8" s="14"/>
      <c r="L8" s="14"/>
      <c r="M8" s="14"/>
      <c r="N8" s="14"/>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customFormat="false" ht="15" hidden="false" customHeight="false" outlineLevel="0" collapsed="false">
      <c r="A9" s="14"/>
      <c r="B9" s="30" t="s">
        <v>13</v>
      </c>
      <c r="C9" s="19" t="s">
        <v>10</v>
      </c>
      <c r="D9" s="26" t="n">
        <v>45798</v>
      </c>
      <c r="E9" s="27" t="n">
        <v>27</v>
      </c>
      <c r="F9" s="28" t="n">
        <v>27</v>
      </c>
      <c r="G9" s="22" t="n">
        <f aca="false">IF(NOT(ISBLANK(D9)), SUM(E9:F9), 0)</f>
        <v>54</v>
      </c>
      <c r="H9" s="16"/>
      <c r="I9" s="29"/>
      <c r="J9" s="14"/>
      <c r="K9" s="14"/>
      <c r="L9" s="14"/>
      <c r="M9" s="14"/>
      <c r="N9" s="14"/>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customFormat="false" ht="15" hidden="false" customHeight="false" outlineLevel="0" collapsed="false">
      <c r="A10" s="14"/>
      <c r="B10" s="30" t="s">
        <v>14</v>
      </c>
      <c r="C10" s="19" t="s">
        <v>10</v>
      </c>
      <c r="D10" s="26" t="n">
        <v>45826</v>
      </c>
      <c r="E10" s="27" t="n">
        <v>12</v>
      </c>
      <c r="F10" s="28" t="n">
        <v>12</v>
      </c>
      <c r="G10" s="22" t="n">
        <f aca="false">IF(NOT(ISBLANK(D10)), SUM(E10:F10), 0)</f>
        <v>24</v>
      </c>
      <c r="H10" s="16"/>
      <c r="I10" s="29"/>
      <c r="J10" s="14"/>
      <c r="K10" s="14"/>
      <c r="L10" s="14"/>
      <c r="M10" s="14"/>
      <c r="N10" s="14"/>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customFormat="false" ht="15" hidden="false" customHeight="false" outlineLevel="0" collapsed="false">
      <c r="A11" s="14"/>
      <c r="B11" s="30" t="s">
        <v>15</v>
      </c>
      <c r="C11" s="19" t="s">
        <v>10</v>
      </c>
      <c r="D11" s="26" t="n">
        <v>45882</v>
      </c>
      <c r="E11" s="27" t="n">
        <v>24</v>
      </c>
      <c r="F11" s="28" t="n">
        <v>22</v>
      </c>
      <c r="G11" s="22" t="n">
        <f aca="false">IF(NOT(ISBLANK(D11)), SUM(E11:F11), 0)</f>
        <v>46</v>
      </c>
      <c r="H11" s="16"/>
      <c r="I11" s="29"/>
      <c r="J11" s="14"/>
      <c r="K11" s="14"/>
      <c r="L11" s="14"/>
      <c r="M11" s="14"/>
      <c r="N11" s="14"/>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customFormat="false" ht="15" hidden="false" customHeight="false" outlineLevel="0" collapsed="false">
      <c r="A12" s="14"/>
      <c r="B12" s="30" t="s">
        <v>16</v>
      </c>
      <c r="C12" s="19" t="s">
        <v>10</v>
      </c>
      <c r="D12" s="26" t="n">
        <v>45903</v>
      </c>
      <c r="E12" s="27" t="n">
        <v>9</v>
      </c>
      <c r="F12" s="28" t="n">
        <v>12</v>
      </c>
      <c r="G12" s="22" t="n">
        <f aca="false">IF(NOT(ISBLANK(D12)), SUM(E12:F12), 0)</f>
        <v>21</v>
      </c>
      <c r="H12" s="16"/>
      <c r="I12" s="29"/>
      <c r="J12" s="14"/>
      <c r="K12" s="14"/>
      <c r="L12" s="14"/>
      <c r="M12" s="14"/>
      <c r="N12" s="14"/>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customFormat="false" ht="15" hidden="false" customHeight="false" outlineLevel="0" collapsed="false">
      <c r="A13" s="14"/>
      <c r="B13" s="30" t="s">
        <v>17</v>
      </c>
      <c r="C13" s="19" t="s">
        <v>10</v>
      </c>
      <c r="D13" s="26" t="n">
        <v>45980</v>
      </c>
      <c r="E13" s="27" t="n">
        <v>12</v>
      </c>
      <c r="F13" s="28" t="n">
        <v>12</v>
      </c>
      <c r="G13" s="22" t="n">
        <f aca="false">IF(NOT(ISBLANK(D13)), SUM(E13:F13), 0)</f>
        <v>24</v>
      </c>
      <c r="H13" s="16"/>
      <c r="I13" s="29"/>
      <c r="J13" s="14"/>
      <c r="K13" s="14"/>
      <c r="L13" s="14"/>
      <c r="M13" s="14"/>
      <c r="N13" s="14"/>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customFormat="false" ht="15" hidden="false" customHeight="false" outlineLevel="0" collapsed="false">
      <c r="A14" s="14"/>
      <c r="B14" s="30" t="s">
        <v>18</v>
      </c>
      <c r="C14" s="19" t="s">
        <v>10</v>
      </c>
      <c r="D14" s="26" t="n">
        <v>46008</v>
      </c>
      <c r="E14" s="27" t="n">
        <v>21</v>
      </c>
      <c r="F14" s="28" t="n">
        <v>22</v>
      </c>
      <c r="G14" s="22" t="n">
        <f aca="false">IF(NOT(ISBLANK(D14)), SUM(E14:F14), 0)</f>
        <v>43</v>
      </c>
      <c r="H14" s="16"/>
      <c r="I14" s="29"/>
      <c r="J14" s="14"/>
      <c r="K14" s="14"/>
      <c r="L14" s="14"/>
      <c r="M14" s="14"/>
      <c r="N14" s="14"/>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customFormat="false" ht="15" hidden="false" customHeight="false" outlineLevel="0" collapsed="false">
      <c r="A15" s="14"/>
      <c r="B15" s="30" t="s">
        <v>19</v>
      </c>
      <c r="C15" s="19" t="s">
        <v>10</v>
      </c>
      <c r="D15" s="26" t="n">
        <v>46029</v>
      </c>
      <c r="E15" s="27" t="n">
        <v>18</v>
      </c>
      <c r="F15" s="28" t="n">
        <v>12</v>
      </c>
      <c r="G15" s="22" t="n">
        <f aca="false">IF(NOT(ISBLANK(D15)), SUM(E15:F15), 0)</f>
        <v>30</v>
      </c>
      <c r="H15" s="16"/>
      <c r="I15" s="29"/>
      <c r="J15" s="14"/>
      <c r="K15" s="14"/>
      <c r="L15" s="14"/>
      <c r="M15" s="14"/>
      <c r="N15" s="14"/>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customFormat="false" ht="15" hidden="false" customHeight="false" outlineLevel="0" collapsed="false">
      <c r="A16" s="14"/>
      <c r="B16" s="30" t="s">
        <v>20</v>
      </c>
      <c r="C16" s="19" t="s">
        <v>10</v>
      </c>
      <c r="D16" s="26" t="n">
        <v>46057</v>
      </c>
      <c r="E16" s="27" t="n">
        <v>15</v>
      </c>
      <c r="F16" s="28" t="n">
        <v>12</v>
      </c>
      <c r="G16" s="22" t="n">
        <f aca="false">IF(NOT(ISBLANK(D16)), SUM(E16:F16), 0)</f>
        <v>27</v>
      </c>
      <c r="H16" s="16"/>
      <c r="I16" s="29"/>
      <c r="J16" s="14"/>
      <c r="K16" s="14"/>
      <c r="L16" s="14"/>
      <c r="M16" s="14"/>
      <c r="N16" s="14"/>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customFormat="false" ht="15" hidden="false" customHeight="false" outlineLevel="0" collapsed="false">
      <c r="A17" s="14"/>
      <c r="B17" s="30" t="s">
        <v>21</v>
      </c>
      <c r="C17" s="19" t="s">
        <v>10</v>
      </c>
      <c r="D17" s="26" t="n">
        <v>46092</v>
      </c>
      <c r="E17" s="27" t="n">
        <v>15</v>
      </c>
      <c r="F17" s="28" t="n">
        <v>12</v>
      </c>
      <c r="G17" s="22" t="n">
        <f aca="false">IF(NOT(ISBLANK(D17)), SUM(E17:F17), 0)</f>
        <v>27</v>
      </c>
      <c r="H17" s="16"/>
      <c r="I17" s="29"/>
      <c r="J17" s="17"/>
      <c r="K17" s="17"/>
      <c r="L17" s="17"/>
      <c r="M17" s="17"/>
      <c r="N17" s="17"/>
      <c r="O17" s="17"/>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customFormat="false" ht="15" hidden="false" customHeight="false" outlineLevel="0" collapsed="false">
      <c r="A18" s="14"/>
      <c r="B18" s="30" t="s">
        <v>22</v>
      </c>
      <c r="C18" s="19" t="s">
        <v>10</v>
      </c>
      <c r="D18" s="26" t="n">
        <v>46127</v>
      </c>
      <c r="E18" s="27" t="n">
        <v>11</v>
      </c>
      <c r="F18" s="31" t="n">
        <v>0</v>
      </c>
      <c r="G18" s="22" t="n">
        <f aca="false">IF(NOT(ISBLANK(D18)), SUM(E18:F18), 0)</f>
        <v>11</v>
      </c>
      <c r="H18" s="16"/>
      <c r="I18" s="29"/>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customFormat="false" ht="16.5" hidden="false" customHeight="true" outlineLevel="0" collapsed="false">
      <c r="A19" s="14"/>
      <c r="B19" s="32" t="s">
        <v>23</v>
      </c>
      <c r="C19" s="33"/>
      <c r="D19" s="33"/>
      <c r="E19" s="34" t="n">
        <f aca="false">SUM(E6:E18)</f>
        <v>195</v>
      </c>
      <c r="F19" s="35" t="n">
        <f aca="false">SUM(F7:F18)</f>
        <v>172</v>
      </c>
      <c r="G19" s="36" t="n">
        <f aca="false">SUM(G6:G18)</f>
        <v>367</v>
      </c>
      <c r="H19" s="16"/>
      <c r="I19" s="29"/>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customFormat="false" ht="16.5" hidden="false" customHeight="true" outlineLevel="0" collapsed="false">
      <c r="A20" s="14"/>
      <c r="B20" s="2"/>
      <c r="C20" s="2"/>
      <c r="D20" s="2"/>
      <c r="E20" s="2"/>
      <c r="F20" s="2"/>
      <c r="G20" s="14"/>
      <c r="H20" s="37"/>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customFormat="false" ht="65.25" hidden="false" customHeight="true" outlineLevel="0" collapsed="false">
      <c r="A21" s="14"/>
      <c r="B21" s="15" t="s">
        <v>24</v>
      </c>
      <c r="C21" s="15" t="s">
        <v>25</v>
      </c>
      <c r="D21" s="15" t="s">
        <v>26</v>
      </c>
      <c r="E21" s="15" t="s">
        <v>27</v>
      </c>
      <c r="F21" s="15" t="s">
        <v>28</v>
      </c>
      <c r="G21" s="15" t="s">
        <v>8</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customFormat="false" ht="84" hidden="false" customHeight="true" outlineLevel="0" collapsed="false">
      <c r="A22" s="14"/>
      <c r="B22" s="27" t="s">
        <v>29</v>
      </c>
      <c r="C22" s="19" t="s">
        <v>10</v>
      </c>
      <c r="D22" s="26" t="n">
        <v>45797</v>
      </c>
      <c r="E22" s="19" t="n">
        <v>24</v>
      </c>
      <c r="F22" s="19"/>
      <c r="G22" s="19" t="n">
        <f aca="false">IF(NOT(ISBLANK(D22)), SUM(E22:F22), 0)</f>
        <v>24</v>
      </c>
      <c r="H22" s="38"/>
      <c r="I22" s="2"/>
      <c r="J22" s="17"/>
      <c r="K22" s="17"/>
      <c r="L22" s="17"/>
      <c r="M22" s="17"/>
      <c r="N22" s="17"/>
      <c r="O22" s="17"/>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customFormat="false" ht="16.5" hidden="false" customHeight="true" outlineLevel="0" collapsed="false">
      <c r="A23" s="14"/>
      <c r="B23" s="27" t="s">
        <v>30</v>
      </c>
      <c r="C23" s="19" t="s">
        <v>10</v>
      </c>
      <c r="D23" s="26" t="n">
        <v>45882</v>
      </c>
      <c r="E23" s="19" t="n">
        <v>24</v>
      </c>
      <c r="F23" s="19"/>
      <c r="G23" s="19" t="n">
        <f aca="false">IF(NOT(ISBLANK(D23)), SUM(E23:F23), 0)</f>
        <v>24</v>
      </c>
      <c r="H23" s="38"/>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customFormat="false" ht="16.5" hidden="false" customHeight="true" outlineLevel="0" collapsed="false">
      <c r="A24" s="14"/>
      <c r="B24" s="27" t="s">
        <v>31</v>
      </c>
      <c r="C24" s="19" t="s">
        <v>10</v>
      </c>
      <c r="D24" s="26" t="n">
        <v>45994</v>
      </c>
      <c r="E24" s="19" t="n">
        <v>24</v>
      </c>
      <c r="F24" s="19"/>
      <c r="G24" s="19" t="n">
        <f aca="false">IF(NOT(ISBLANK(D24)), SUM(E24:F24), 0)</f>
        <v>24</v>
      </c>
      <c r="H24" s="38"/>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customFormat="false" ht="16.5" hidden="false" customHeight="true" outlineLevel="0" collapsed="false">
      <c r="A25" s="14"/>
      <c r="B25" s="27" t="s">
        <v>32</v>
      </c>
      <c r="C25" s="19"/>
      <c r="D25" s="19"/>
      <c r="E25" s="19" t="n">
        <v>24</v>
      </c>
      <c r="F25" s="19"/>
      <c r="G25" s="19" t="n">
        <f aca="false">IF(NOT(ISBLANK(D25)), SUM(E25:F25), 0)</f>
        <v>0</v>
      </c>
      <c r="H25" s="38"/>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customFormat="false" ht="16.5" hidden="false" customHeight="true" outlineLevel="0" collapsed="false">
      <c r="A26" s="14"/>
      <c r="B26" s="27" t="s">
        <v>33</v>
      </c>
      <c r="C26" s="19"/>
      <c r="D26" s="19"/>
      <c r="E26" s="19" t="n">
        <v>24</v>
      </c>
      <c r="F26" s="19"/>
      <c r="G26" s="19" t="n">
        <f aca="false">IF(NOT(ISBLANK(D26)), SUM(E26:F26), 0)</f>
        <v>0</v>
      </c>
      <c r="H26" s="38"/>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customFormat="false" ht="16.5" hidden="false" customHeight="true" outlineLevel="0" collapsed="false">
      <c r="A27" s="14"/>
      <c r="B27" s="27"/>
      <c r="C27" s="27"/>
      <c r="D27" s="27"/>
      <c r="E27" s="27"/>
      <c r="F27" s="27"/>
      <c r="G27" s="27"/>
      <c r="H27" s="38"/>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customFormat="false" ht="16.5" hidden="false" customHeight="true" outlineLevel="0" collapsed="false">
      <c r="A28" s="14"/>
      <c r="B28" s="39" t="s">
        <v>8</v>
      </c>
      <c r="C28" s="27"/>
      <c r="D28" s="27"/>
      <c r="E28" s="40" t="n">
        <f aca="false">SUM(E22:E27)</f>
        <v>120</v>
      </c>
      <c r="F28" s="40" t="n">
        <f aca="false">SUM(F22:F26)</f>
        <v>0</v>
      </c>
      <c r="G28" s="40" t="n">
        <f aca="false">SUM(G22:H27)</f>
        <v>72</v>
      </c>
      <c r="H28" s="38"/>
      <c r="I28" s="29"/>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customFormat="false" ht="25.5" hidden="false" customHeight="true" outlineLevel="0" collapsed="false">
      <c r="A29" s="2"/>
      <c r="B29" s="41"/>
      <c r="C29" s="41"/>
      <c r="D29" s="41"/>
      <c r="E29" s="41"/>
      <c r="F29" s="41"/>
      <c r="G29" s="41"/>
      <c r="H29" s="41"/>
      <c r="I29" s="2"/>
      <c r="J29" s="17"/>
      <c r="K29" s="17"/>
      <c r="L29" s="17"/>
      <c r="M29" s="17"/>
      <c r="N29" s="17"/>
      <c r="O29" s="17"/>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customFormat="false" ht="33.75" hidden="false" customHeight="true" outlineLevel="0" collapsed="false">
      <c r="A30" s="2"/>
      <c r="B30" s="42" t="s">
        <v>34</v>
      </c>
      <c r="F30" s="3"/>
      <c r="G30" s="2"/>
      <c r="H30" s="2"/>
      <c r="I30" s="2"/>
      <c r="J30" s="43"/>
      <c r="K30" s="43"/>
      <c r="L30" s="43"/>
      <c r="M30" s="43"/>
      <c r="N30" s="43"/>
      <c r="O30" s="43"/>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customFormat="false" ht="28.5" hidden="false" customHeight="true" outlineLevel="0" collapsed="false">
      <c r="A31" s="2"/>
      <c r="B31" s="44" t="s">
        <v>35</v>
      </c>
      <c r="C31" s="44"/>
      <c r="D31" s="44"/>
      <c r="E31" s="44"/>
      <c r="F31" s="44"/>
      <c r="G31" s="2"/>
      <c r="H31" s="2"/>
      <c r="I31" s="2"/>
      <c r="J31" s="45"/>
      <c r="K31" s="45"/>
      <c r="L31" s="45"/>
      <c r="M31" s="45"/>
      <c r="N31" s="45"/>
      <c r="O31" s="46"/>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customFormat="false" ht="28.5" hidden="false" customHeight="true" outlineLevel="0" collapsed="false">
      <c r="A32" s="2"/>
      <c r="B32" s="1" t="s">
        <v>36</v>
      </c>
      <c r="F32" s="3"/>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customFormat="false" ht="16.5" hidden="false" customHeight="true" outlineLevel="0" collapsed="false">
      <c r="A33" s="14"/>
      <c r="B33" s="47"/>
      <c r="C33" s="48"/>
      <c r="D33" s="48"/>
      <c r="E33" s="49"/>
      <c r="F33" s="49"/>
      <c r="G33" s="49"/>
      <c r="H33" s="50"/>
      <c r="I33" s="29"/>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customFormat="false" ht="16.5" hidden="false" customHeight="true" outlineLevel="0" collapsed="false">
      <c r="A34" s="14"/>
      <c r="B34" s="51"/>
      <c r="C34" s="52"/>
      <c r="D34" s="52"/>
      <c r="E34" s="52"/>
      <c r="F34" s="51"/>
      <c r="G34" s="48"/>
      <c r="H34" s="50"/>
      <c r="I34" s="29"/>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customFormat="false" ht="60" hidden="false" customHeight="true" outlineLevel="0" collapsed="false">
      <c r="A35" s="14"/>
      <c r="B35" s="15" t="s">
        <v>37</v>
      </c>
      <c r="C35" s="15" t="s">
        <v>38</v>
      </c>
      <c r="D35" s="53" t="s">
        <v>39</v>
      </c>
      <c r="E35" s="53" t="s">
        <v>40</v>
      </c>
      <c r="F35" s="53"/>
      <c r="G35" s="53" t="s">
        <v>27</v>
      </c>
      <c r="H35" s="54" t="s">
        <v>41</v>
      </c>
      <c r="I35" s="29"/>
      <c r="J35" s="17"/>
      <c r="K35" s="17"/>
      <c r="L35" s="17"/>
      <c r="M35" s="17"/>
      <c r="N35" s="17"/>
      <c r="O35" s="17"/>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customFormat="false" ht="17.25" hidden="false" customHeight="true" outlineLevel="0" collapsed="false">
      <c r="A36" s="55"/>
      <c r="B36" s="56" t="s">
        <v>42</v>
      </c>
      <c r="C36" s="57"/>
      <c r="D36" s="58" t="n">
        <v>45765</v>
      </c>
      <c r="E36" s="19" t="s">
        <v>43</v>
      </c>
      <c r="F36" s="19"/>
      <c r="G36" s="59" t="n">
        <v>8</v>
      </c>
      <c r="H36" s="54"/>
      <c r="I36" s="29"/>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customFormat="false" ht="17.25" hidden="false" customHeight="true" outlineLevel="0" collapsed="false">
      <c r="A37" s="55"/>
      <c r="B37" s="56" t="s">
        <v>44</v>
      </c>
      <c r="C37" s="60"/>
      <c r="D37" s="61" t="n">
        <v>45804</v>
      </c>
      <c r="E37" s="62" t="s">
        <v>45</v>
      </c>
      <c r="F37" s="62"/>
      <c r="G37" s="59" t="n">
        <v>2</v>
      </c>
      <c r="H37" s="54"/>
      <c r="I37" s="63"/>
      <c r="J37" s="64"/>
      <c r="K37" s="64"/>
      <c r="L37" s="64"/>
      <c r="M37" s="64"/>
      <c r="N37" s="64"/>
      <c r="O37" s="64"/>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customFormat="false" ht="17.25" hidden="false" customHeight="true" outlineLevel="0" collapsed="false">
      <c r="A38" s="14"/>
      <c r="B38" s="56" t="s">
        <v>46</v>
      </c>
      <c r="C38" s="57"/>
      <c r="D38" s="65" t="n">
        <v>45866</v>
      </c>
      <c r="E38" s="62" t="s">
        <v>47</v>
      </c>
      <c r="F38" s="62"/>
      <c r="G38" s="59" t="n">
        <v>0.5</v>
      </c>
      <c r="H38" s="54"/>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customFormat="false" ht="17.25" hidden="false" customHeight="true" outlineLevel="0" collapsed="false">
      <c r="A39" s="14"/>
      <c r="B39" s="56" t="s">
        <v>48</v>
      </c>
      <c r="C39" s="57"/>
      <c r="D39" s="58" t="n">
        <v>45931</v>
      </c>
      <c r="E39" s="19" t="s">
        <v>49</v>
      </c>
      <c r="F39" s="19"/>
      <c r="G39" s="59" t="n">
        <v>1.5</v>
      </c>
      <c r="H39" s="54"/>
      <c r="I39" s="2"/>
      <c r="J39" s="17"/>
      <c r="K39" s="17"/>
      <c r="L39" s="17"/>
      <c r="M39" s="17"/>
      <c r="N39" s="17"/>
      <c r="O39" s="17"/>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customFormat="false" ht="38.9" hidden="false" customHeight="true" outlineLevel="0" collapsed="false">
      <c r="A40" s="14"/>
      <c r="B40" s="30" t="s">
        <v>50</v>
      </c>
      <c r="C40" s="57"/>
      <c r="D40" s="58" t="n">
        <v>45918</v>
      </c>
      <c r="E40" s="19" t="s">
        <v>51</v>
      </c>
      <c r="F40" s="19"/>
      <c r="G40" s="59" t="n">
        <v>8</v>
      </c>
      <c r="H40" s="54"/>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customFormat="false" ht="17.25" hidden="false" customHeight="true" outlineLevel="0" collapsed="false">
      <c r="A41" s="14"/>
      <c r="B41" s="56" t="s">
        <v>52</v>
      </c>
      <c r="C41" s="57"/>
      <c r="D41" s="26" t="n">
        <v>45982</v>
      </c>
      <c r="E41" s="19" t="s">
        <v>49</v>
      </c>
      <c r="F41" s="19"/>
      <c r="G41" s="59" t="n">
        <v>1.5</v>
      </c>
      <c r="H41" s="54"/>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customFormat="false" ht="17.25" hidden="false" customHeight="true" outlineLevel="0" collapsed="false">
      <c r="A42" s="14"/>
      <c r="B42" s="56" t="s">
        <v>53</v>
      </c>
      <c r="C42" s="57"/>
      <c r="D42" s="26" t="n">
        <v>45989</v>
      </c>
      <c r="E42" s="19" t="s">
        <v>54</v>
      </c>
      <c r="F42" s="19"/>
      <c r="G42" s="59" t="n">
        <v>1</v>
      </c>
      <c r="H42" s="54"/>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customFormat="false" ht="17.25" hidden="false" customHeight="true" outlineLevel="0" collapsed="false">
      <c r="A43" s="14"/>
      <c r="B43" s="56" t="s">
        <v>55</v>
      </c>
      <c r="C43" s="60"/>
      <c r="D43" s="26" t="n">
        <v>46010</v>
      </c>
      <c r="E43" s="19" t="s">
        <v>56</v>
      </c>
      <c r="F43" s="19"/>
      <c r="G43" s="59" t="n">
        <v>2.5</v>
      </c>
      <c r="H43" s="54"/>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customFormat="false" ht="17.25" hidden="false" customHeight="true" outlineLevel="0" collapsed="false">
      <c r="A44" s="14"/>
      <c r="B44" s="56" t="s">
        <v>57</v>
      </c>
      <c r="C44" s="60"/>
      <c r="D44" s="26" t="n">
        <v>46034</v>
      </c>
      <c r="E44" s="19" t="s">
        <v>56</v>
      </c>
      <c r="F44" s="19"/>
      <c r="G44" s="66" t="n">
        <v>3</v>
      </c>
      <c r="H44" s="54"/>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customFormat="false" ht="17.25" hidden="false" customHeight="true" outlineLevel="0" collapsed="false">
      <c r="A45" s="14"/>
      <c r="B45" s="56" t="s">
        <v>58</v>
      </c>
      <c r="C45" s="60"/>
      <c r="D45" s="26" t="n">
        <v>46042</v>
      </c>
      <c r="E45" s="19" t="s">
        <v>56</v>
      </c>
      <c r="F45" s="19"/>
      <c r="G45" s="59" t="n">
        <v>1.5</v>
      </c>
      <c r="H45" s="54"/>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customFormat="false" ht="17.25" hidden="false" customHeight="true" outlineLevel="0" collapsed="false">
      <c r="A46" s="14"/>
      <c r="B46" s="30"/>
      <c r="C46" s="57"/>
      <c r="D46" s="26"/>
      <c r="E46" s="19"/>
      <c r="F46" s="19"/>
      <c r="G46" s="59"/>
      <c r="H46" s="54"/>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customFormat="false" ht="17.25" hidden="false" customHeight="true" outlineLevel="0" collapsed="false">
      <c r="A47" s="14"/>
      <c r="B47" s="30"/>
      <c r="C47" s="57"/>
      <c r="D47" s="67"/>
      <c r="E47" s="19"/>
      <c r="F47" s="19"/>
      <c r="G47" s="68"/>
      <c r="H47" s="54"/>
      <c r="I47" s="69"/>
      <c r="J47" s="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customFormat="false" ht="17.25" hidden="false" customHeight="true" outlineLevel="0" collapsed="false">
      <c r="A48" s="14"/>
      <c r="B48" s="30"/>
      <c r="C48" s="57"/>
      <c r="D48" s="67"/>
      <c r="E48" s="19"/>
      <c r="F48" s="19"/>
      <c r="G48" s="70"/>
      <c r="H48" s="54"/>
      <c r="I48" s="69"/>
      <c r="J48" s="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customFormat="false" ht="17.25" hidden="false" customHeight="true" outlineLevel="0" collapsed="false">
      <c r="A49" s="14"/>
      <c r="B49" s="71"/>
      <c r="C49" s="57"/>
      <c r="D49" s="27"/>
      <c r="E49" s="19"/>
      <c r="F49" s="19"/>
      <c r="G49" s="70"/>
      <c r="H49" s="54"/>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customFormat="false" ht="17.25" hidden="false" customHeight="true" outlineLevel="0" collapsed="false">
      <c r="A50" s="72"/>
      <c r="B50" s="30"/>
      <c r="C50" s="57"/>
      <c r="D50" s="27"/>
      <c r="E50" s="19"/>
      <c r="F50" s="19"/>
      <c r="G50" s="70"/>
      <c r="H50" s="54"/>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customFormat="false" ht="17.25" hidden="false" customHeight="true" outlineLevel="0" collapsed="false">
      <c r="A51" s="14"/>
      <c r="B51" s="30"/>
      <c r="C51" s="57"/>
      <c r="D51" s="27"/>
      <c r="E51" s="19"/>
      <c r="F51" s="19"/>
      <c r="G51" s="70"/>
      <c r="H51" s="54"/>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customFormat="false" ht="17.25" hidden="false" customHeight="true" outlineLevel="0" collapsed="false">
      <c r="A52" s="14"/>
      <c r="B52" s="30"/>
      <c r="C52" s="57"/>
      <c r="D52" s="27"/>
      <c r="E52" s="19"/>
      <c r="F52" s="19"/>
      <c r="G52" s="70"/>
      <c r="H52" s="54"/>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customFormat="false" ht="17.25" hidden="false" customHeight="true" outlineLevel="0" collapsed="false">
      <c r="A53" s="14"/>
      <c r="B53" s="30"/>
      <c r="C53" s="57"/>
      <c r="D53" s="27"/>
      <c r="E53" s="19"/>
      <c r="F53" s="19"/>
      <c r="G53" s="70"/>
      <c r="H53" s="54"/>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customFormat="false" ht="17.25" hidden="false" customHeight="true" outlineLevel="0" collapsed="false">
      <c r="A54" s="14"/>
      <c r="B54" s="30"/>
      <c r="C54" s="57"/>
      <c r="D54" s="27"/>
      <c r="E54" s="19"/>
      <c r="F54" s="19"/>
      <c r="G54" s="70"/>
      <c r="H54" s="54"/>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customFormat="false" ht="17.25" hidden="false" customHeight="true" outlineLevel="0" collapsed="false">
      <c r="A55" s="14"/>
      <c r="B55" s="27"/>
      <c r="C55" s="57"/>
      <c r="D55" s="27"/>
      <c r="E55" s="19"/>
      <c r="F55" s="19"/>
      <c r="G55" s="70"/>
      <c r="H55" s="54"/>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customFormat="false" ht="17.25" hidden="false" customHeight="true" outlineLevel="0" collapsed="false">
      <c r="A56" s="14"/>
      <c r="B56" s="27"/>
      <c r="C56" s="57"/>
      <c r="D56" s="27"/>
      <c r="E56" s="19"/>
      <c r="F56" s="19"/>
      <c r="G56" s="70"/>
      <c r="H56" s="54"/>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customFormat="false" ht="17.25" hidden="false" customHeight="true" outlineLevel="0" collapsed="false">
      <c r="A57" s="14"/>
      <c r="B57" s="27"/>
      <c r="C57" s="57"/>
      <c r="D57" s="27"/>
      <c r="E57" s="19"/>
      <c r="F57" s="19"/>
      <c r="G57" s="70"/>
      <c r="H57" s="54"/>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customFormat="false" ht="17.25" hidden="false" customHeight="true" outlineLevel="0" collapsed="false">
      <c r="A58" s="14"/>
      <c r="B58" s="27"/>
      <c r="C58" s="57"/>
      <c r="D58" s="27"/>
      <c r="E58" s="19"/>
      <c r="F58" s="19"/>
      <c r="G58" s="70"/>
      <c r="H58" s="54"/>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customFormat="false" ht="17.25" hidden="false" customHeight="true" outlineLevel="0" collapsed="false">
      <c r="A59" s="14"/>
      <c r="B59" s="27"/>
      <c r="C59" s="57"/>
      <c r="D59" s="27"/>
      <c r="E59" s="19"/>
      <c r="F59" s="19"/>
      <c r="G59" s="70"/>
      <c r="H59" s="54"/>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customFormat="false" ht="17.25" hidden="false" customHeight="true" outlineLevel="0" collapsed="false">
      <c r="A60" s="14"/>
      <c r="B60" s="27"/>
      <c r="C60" s="57"/>
      <c r="D60" s="27"/>
      <c r="E60" s="19"/>
      <c r="F60" s="19"/>
      <c r="G60" s="70"/>
      <c r="H60" s="54"/>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customFormat="false" ht="15" hidden="false" customHeight="false" outlineLevel="0" collapsed="false">
      <c r="A61" s="14"/>
      <c r="B61" s="40" t="s">
        <v>8</v>
      </c>
      <c r="C61" s="40"/>
      <c r="D61" s="73"/>
      <c r="E61" s="74"/>
      <c r="F61" s="74"/>
      <c r="G61" s="36" t="n">
        <f aca="false">SUM(G36:G60)</f>
        <v>29.5</v>
      </c>
      <c r="H61" s="54"/>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customFormat="false" ht="15" hidden="false" customHeight="false" outlineLevel="0" collapsed="false">
      <c r="A62" s="14"/>
      <c r="B62" s="27"/>
      <c r="C62" s="27"/>
      <c r="D62" s="75"/>
      <c r="E62" s="3"/>
      <c r="F62" s="3"/>
      <c r="G62" s="76"/>
      <c r="H62" s="77"/>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customFormat="false" ht="15" hidden="false" customHeight="false" outlineLevel="0" collapsed="false">
      <c r="A63" s="14"/>
      <c r="B63" s="78" t="s">
        <v>59</v>
      </c>
      <c r="C63" s="78"/>
      <c r="D63" s="79"/>
      <c r="E63" s="80"/>
      <c r="F63" s="80"/>
      <c r="G63" s="81" t="n">
        <f aca="false">G61+G19+G28+G62</f>
        <v>468.5</v>
      </c>
      <c r="H63" s="8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customFormat="false" ht="15" hidden="false" customHeight="false" outlineLevel="0" collapsed="false">
      <c r="A64" s="14"/>
      <c r="B64" s="2"/>
      <c r="C64" s="2"/>
      <c r="D64" s="2"/>
      <c r="E64" s="2"/>
      <c r="F64" s="2"/>
      <c r="G64" s="2"/>
      <c r="H64" s="69"/>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customFormat="false" ht="15" hidden="false" customHeight="false" outlineLevel="0" collapsed="false">
      <c r="A65" s="14"/>
      <c r="B65" s="3"/>
      <c r="D65" s="2"/>
      <c r="F65" s="2"/>
      <c r="G65" s="2"/>
      <c r="H65" s="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customFormat="false" ht="15" hidden="false" customHeight="false" outlineLevel="0" collapsed="false">
      <c r="A66" s="14"/>
      <c r="B66" s="27" t="s">
        <v>60</v>
      </c>
      <c r="C66" s="27" t="n">
        <v>359</v>
      </c>
      <c r="D66" s="2"/>
      <c r="F66" s="2"/>
      <c r="G66" s="2"/>
      <c r="H66" s="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customFormat="false" ht="15" hidden="false" customHeight="false" outlineLevel="0" collapsed="false">
      <c r="A67" s="14"/>
      <c r="B67" s="27" t="s">
        <v>61</v>
      </c>
      <c r="C67" s="27" t="n">
        <f aca="false">G63</f>
        <v>468.5</v>
      </c>
      <c r="D67" s="2"/>
      <c r="F67" s="2"/>
      <c r="G67" s="2"/>
      <c r="H67" s="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customFormat="false" ht="15" hidden="false" customHeight="false" outlineLevel="0" collapsed="false">
      <c r="A68" s="14"/>
      <c r="B68" s="27" t="s">
        <v>62</v>
      </c>
      <c r="C68" s="40" t="n">
        <f aca="false">C66-C67</f>
        <v>-109.5</v>
      </c>
      <c r="D68" s="2"/>
      <c r="F68" s="2"/>
      <c r="G68" s="2"/>
      <c r="H68" s="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customFormat="false" ht="15" hidden="false" customHeight="false" outlineLevel="0" collapsed="false">
      <c r="A69" s="14"/>
      <c r="B69" s="2"/>
      <c r="D69" s="2"/>
      <c r="F69" s="2"/>
      <c r="G69" s="2"/>
      <c r="H69" s="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customFormat="false" ht="15" hidden="false" customHeight="false" outlineLevel="0" collapsed="false">
      <c r="A70" s="14"/>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customFormat="false" ht="15" hidden="false" customHeight="false" outlineLevel="0" collapsed="false">
      <c r="A71" s="14"/>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customFormat="false" ht="15" hidden="false" customHeight="false" outlineLevel="0" collapsed="false">
      <c r="A72" s="14"/>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customFormat="false" ht="15" hidden="false" customHeight="false" outlineLevel="0" collapsed="false">
      <c r="A73" s="14"/>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customFormat="false" ht="15" hidden="false" customHeight="false" outlineLevel="0" collapsed="false">
      <c r="A74" s="14"/>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customFormat="false" ht="15" hidden="false" customHeight="false" outlineLevel="0" collapsed="false">
      <c r="A75" s="14"/>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customFormat="false" ht="15" hidden="false" customHeight="false" outlineLevel="0" collapsed="false">
      <c r="A76" s="14"/>
      <c r="B76" s="2"/>
      <c r="C76" s="2"/>
      <c r="D76" s="2"/>
      <c r="E76" s="2"/>
      <c r="F76" s="2"/>
      <c r="G76" s="2"/>
      <c r="H76" s="2"/>
      <c r="I76" s="29"/>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customFormat="false" ht="15" hidden="false" customHeight="false" outlineLevel="0" collapsed="false">
      <c r="A77" s="14"/>
      <c r="B77" s="2"/>
      <c r="C77" s="2"/>
      <c r="D77" s="2"/>
      <c r="E77" s="2"/>
      <c r="F77" s="2"/>
      <c r="G77" s="2"/>
      <c r="H77" s="2"/>
      <c r="I77" s="63"/>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customFormat="false" ht="15" hidden="false" customHeight="false" outlineLevel="0" collapsed="false">
      <c r="A78" s="2"/>
      <c r="B78" s="2"/>
      <c r="C78" s="2"/>
      <c r="D78" s="2"/>
      <c r="E78" s="2"/>
      <c r="F78" s="2"/>
      <c r="G78" s="2"/>
      <c r="H78" s="2"/>
      <c r="I78" s="63"/>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customFormat="false" ht="1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customFormat="false" ht="1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customFormat="false" ht="1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customFormat="false" ht="1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customFormat="false" ht="1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customFormat="false" ht="1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customFormat="false" ht="1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customFormat="false" ht="1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customFormat="false" ht="1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ustomFormat="false" ht="1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ustomFormat="false" ht="1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ustomFormat="false" ht="1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ustomFormat="false" ht="1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ustomFormat="false" ht="1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ustomFormat="false" ht="1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ustomFormat="false" ht="1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ustomFormat="false" ht="1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ustomFormat="false" ht="1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ustomFormat="false" ht="1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ustomFormat="false" ht="1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ustomFormat="false" ht="1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ustomFormat="false" ht="1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ustomFormat="false" ht="1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ustomFormat="false" ht="1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ustomFormat="false" ht="15" hidden="false" customHeight="false" outlineLevel="0" collapsed="false">
      <c r="A103" s="14"/>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ustomFormat="false" ht="15" hidden="false" customHeight="false" outlineLevel="0" collapsed="false">
      <c r="A104" s="14"/>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ustomFormat="false" ht="15" hidden="false" customHeight="false" outlineLevel="0" collapsed="false">
      <c r="A105" s="14"/>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ustomFormat="false" ht="15" hidden="false" customHeight="false" outlineLevel="0" collapsed="false">
      <c r="A106" s="14"/>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ustomFormat="false" ht="15" hidden="false" customHeight="false" outlineLevel="0" collapsed="false">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ustomFormat="false" ht="15" hidden="false" customHeight="false" outlineLevel="0" collapsed="false">
      <c r="A108" s="29"/>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ustomFormat="false" ht="1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ustomFormat="false" ht="1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ustomFormat="false" ht="1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ustomFormat="false" ht="1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ustomFormat="false" ht="1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ustomFormat="false" ht="1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ustomFormat="false" ht="1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ustomFormat="false" ht="1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ustomFormat="false" ht="1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ustomFormat="false" ht="1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ustomFormat="false" ht="1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ustomFormat="false" ht="1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ustomFormat="false" ht="1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ustomFormat="false" ht="1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ustomFormat="false" ht="1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ustomFormat="false" ht="1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ustomFormat="false" ht="1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ustomFormat="false" ht="1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ustomFormat="false" ht="1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ustomFormat="false" ht="1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ustomFormat="false" ht="1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ustomFormat="false" ht="1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ustomFormat="false" ht="1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ustomFormat="false" ht="1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ustomFormat="false" ht="1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ustomFormat="false" ht="1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ustomFormat="false" ht="1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ustomFormat="false" ht="1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ustomFormat="false" ht="1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ustomFormat="false" ht="1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ustomFormat="false" ht="1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ustomFormat="false" ht="1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ustomFormat="false" ht="1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ustomFormat="false" ht="1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ustomFormat="false" ht="15" hidden="false" customHeight="false" outlineLevel="0" collapsed="false">
      <c r="A143" s="2"/>
      <c r="B143" s="2"/>
      <c r="C143" s="2"/>
      <c r="D143" s="2"/>
      <c r="E143" s="2"/>
      <c r="F143" s="2"/>
      <c r="G143" s="2"/>
      <c r="H143" s="2"/>
      <c r="I143" s="2"/>
      <c r="J143" s="2"/>
      <c r="K143" s="2"/>
      <c r="L143" s="2"/>
      <c r="M143" s="2"/>
      <c r="N143" s="2"/>
      <c r="O143" s="2"/>
      <c r="P143" s="2"/>
      <c r="Q143" s="2"/>
      <c r="R143" s="2"/>
    </row>
    <row r="144" customFormat="false" ht="15" hidden="false" customHeight="false" outlineLevel="0" collapsed="false">
      <c r="A144" s="2"/>
      <c r="B144" s="2"/>
      <c r="C144" s="2"/>
      <c r="D144" s="2"/>
      <c r="E144" s="2"/>
      <c r="F144" s="2"/>
      <c r="G144" s="2"/>
      <c r="H144" s="2"/>
      <c r="I144" s="2"/>
      <c r="J144" s="2"/>
      <c r="K144" s="2"/>
      <c r="L144" s="2"/>
      <c r="M144" s="2"/>
      <c r="N144" s="2"/>
      <c r="O144" s="2"/>
      <c r="P144" s="2"/>
      <c r="Q144" s="2"/>
      <c r="R144" s="2"/>
    </row>
    <row r="145" customFormat="false" ht="15" hidden="false" customHeight="false" outlineLevel="0" collapsed="false">
      <c r="A145" s="2"/>
      <c r="B145" s="2"/>
      <c r="C145" s="2"/>
      <c r="D145" s="2"/>
      <c r="E145" s="2"/>
      <c r="F145" s="2"/>
      <c r="G145" s="2"/>
      <c r="H145" s="2"/>
      <c r="I145" s="2"/>
      <c r="J145" s="2"/>
      <c r="K145" s="2"/>
      <c r="L145" s="2"/>
      <c r="M145" s="2"/>
      <c r="N145" s="2"/>
      <c r="O145" s="2"/>
      <c r="P145" s="2"/>
      <c r="Q145" s="2"/>
      <c r="R145" s="2"/>
    </row>
    <row r="146" customFormat="false" ht="15" hidden="false" customHeight="false" outlineLevel="0" collapsed="false">
      <c r="A146" s="2"/>
      <c r="B146" s="2"/>
      <c r="C146" s="2"/>
      <c r="D146" s="2"/>
      <c r="E146" s="2"/>
      <c r="F146" s="2"/>
      <c r="G146" s="2"/>
      <c r="H146" s="2"/>
      <c r="I146" s="2"/>
      <c r="J146" s="2"/>
      <c r="K146" s="2"/>
      <c r="L146" s="2"/>
      <c r="M146" s="2"/>
      <c r="N146" s="2"/>
      <c r="O146" s="2"/>
      <c r="P146" s="2"/>
      <c r="Q146" s="2"/>
      <c r="R146" s="2"/>
    </row>
    <row r="147" customFormat="false" ht="15" hidden="false" customHeight="false" outlineLevel="0" collapsed="false">
      <c r="A147" s="2"/>
      <c r="B147" s="2"/>
      <c r="C147" s="2"/>
      <c r="D147" s="2"/>
      <c r="E147" s="2"/>
      <c r="F147" s="2"/>
      <c r="G147" s="2"/>
      <c r="H147" s="2"/>
      <c r="I147" s="2"/>
      <c r="J147" s="2"/>
      <c r="K147" s="2"/>
      <c r="L147" s="2"/>
      <c r="M147" s="2"/>
      <c r="N147" s="2"/>
      <c r="O147" s="2"/>
      <c r="P147" s="2"/>
      <c r="Q147" s="2"/>
      <c r="R147" s="2"/>
    </row>
    <row r="148" customFormat="false" ht="15" hidden="false" customHeight="false" outlineLevel="0" collapsed="false">
      <c r="A148" s="2"/>
      <c r="B148" s="2"/>
      <c r="C148" s="2"/>
      <c r="D148" s="2"/>
      <c r="E148" s="2"/>
      <c r="F148" s="2"/>
      <c r="G148" s="2"/>
      <c r="H148" s="2"/>
      <c r="I148" s="2"/>
      <c r="J148" s="2"/>
      <c r="K148" s="2"/>
      <c r="L148" s="2"/>
      <c r="M148" s="2"/>
      <c r="N148" s="2"/>
      <c r="O148" s="2"/>
      <c r="P148" s="2"/>
      <c r="Q148" s="2"/>
      <c r="R148" s="2"/>
    </row>
    <row r="149" customFormat="false" ht="15" hidden="false" customHeight="false" outlineLevel="0" collapsed="false">
      <c r="A149" s="2"/>
      <c r="B149" s="2"/>
      <c r="C149" s="2"/>
      <c r="D149" s="2"/>
      <c r="E149" s="2"/>
      <c r="F149" s="2"/>
      <c r="G149" s="2"/>
      <c r="H149" s="2"/>
      <c r="I149" s="2"/>
      <c r="J149" s="2"/>
      <c r="K149" s="2"/>
      <c r="L149" s="2"/>
      <c r="M149" s="2"/>
      <c r="N149" s="2"/>
      <c r="O149" s="2"/>
      <c r="P149" s="2"/>
      <c r="Q149" s="2"/>
      <c r="R149" s="2"/>
    </row>
    <row r="150" customFormat="false" ht="15" hidden="false" customHeight="false" outlineLevel="0" collapsed="false">
      <c r="A150" s="2"/>
      <c r="B150" s="2"/>
      <c r="C150" s="2"/>
      <c r="D150" s="2"/>
      <c r="E150" s="2"/>
      <c r="F150" s="2"/>
      <c r="G150" s="2"/>
      <c r="H150" s="2"/>
      <c r="I150" s="2"/>
      <c r="J150" s="2"/>
      <c r="K150" s="2"/>
      <c r="L150" s="2"/>
      <c r="M150" s="2"/>
      <c r="N150" s="2"/>
      <c r="O150" s="2"/>
      <c r="P150" s="2"/>
      <c r="Q150" s="2"/>
      <c r="R150" s="2"/>
    </row>
    <row r="151" customFormat="false" ht="15" hidden="false" customHeight="false" outlineLevel="0" collapsed="false">
      <c r="A151" s="2"/>
      <c r="B151" s="2"/>
      <c r="C151" s="2"/>
      <c r="D151" s="2"/>
      <c r="E151" s="2"/>
      <c r="F151" s="2"/>
      <c r="G151" s="2"/>
      <c r="H151" s="2"/>
      <c r="I151" s="2"/>
      <c r="J151" s="2"/>
      <c r="K151" s="2"/>
      <c r="L151" s="2"/>
      <c r="M151" s="2"/>
      <c r="N151" s="2"/>
      <c r="O151" s="2"/>
      <c r="P151" s="2"/>
      <c r="Q151" s="2"/>
      <c r="R151" s="2"/>
    </row>
    <row r="152" customFormat="false" ht="15" hidden="false" customHeight="false" outlineLevel="0" collapsed="false">
      <c r="A152" s="2"/>
      <c r="B152" s="2"/>
      <c r="C152" s="2"/>
      <c r="D152" s="2"/>
      <c r="E152" s="2"/>
      <c r="F152" s="2"/>
      <c r="G152" s="2"/>
      <c r="H152" s="2"/>
      <c r="I152" s="2"/>
      <c r="J152" s="2"/>
      <c r="K152" s="2"/>
      <c r="L152" s="2"/>
      <c r="M152" s="2"/>
      <c r="N152" s="2"/>
      <c r="O152" s="2"/>
      <c r="P152" s="2"/>
      <c r="Q152" s="2"/>
      <c r="R152" s="2"/>
    </row>
    <row r="153" customFormat="false" ht="15" hidden="false" customHeight="false" outlineLevel="0" collapsed="false">
      <c r="A153" s="2"/>
      <c r="B153" s="2"/>
      <c r="C153" s="2"/>
      <c r="D153" s="2"/>
      <c r="E153" s="2"/>
      <c r="F153" s="2"/>
      <c r="G153" s="2"/>
      <c r="H153" s="2"/>
      <c r="I153" s="2"/>
      <c r="J153" s="2"/>
      <c r="K153" s="2"/>
      <c r="L153" s="2"/>
      <c r="M153" s="2"/>
      <c r="N153" s="2"/>
      <c r="O153" s="2"/>
      <c r="P153" s="2"/>
      <c r="Q153" s="2"/>
      <c r="R153" s="2"/>
    </row>
    <row r="154" customFormat="false" ht="15" hidden="false" customHeight="false" outlineLevel="0" collapsed="false">
      <c r="A154" s="2"/>
      <c r="B154" s="2"/>
      <c r="C154" s="2"/>
      <c r="D154" s="2"/>
      <c r="E154" s="2"/>
      <c r="F154" s="2"/>
      <c r="G154" s="2"/>
      <c r="H154" s="2"/>
      <c r="I154" s="2"/>
      <c r="J154" s="2"/>
      <c r="K154" s="2"/>
      <c r="L154" s="2"/>
      <c r="M154" s="2"/>
      <c r="N154" s="2"/>
      <c r="O154" s="2"/>
      <c r="P154" s="2"/>
      <c r="Q154" s="2"/>
      <c r="R154" s="2"/>
    </row>
    <row r="155" customFormat="false" ht="15" hidden="false" customHeight="false" outlineLevel="0" collapsed="false">
      <c r="A155" s="2"/>
      <c r="B155" s="2"/>
      <c r="C155" s="2"/>
      <c r="D155" s="2"/>
      <c r="E155" s="2"/>
      <c r="F155" s="2"/>
      <c r="G155" s="2"/>
      <c r="H155" s="2"/>
      <c r="I155" s="2"/>
      <c r="J155" s="2"/>
      <c r="K155" s="2"/>
      <c r="L155" s="2"/>
      <c r="M155" s="2"/>
      <c r="N155" s="2"/>
      <c r="O155" s="2"/>
      <c r="P155" s="2"/>
      <c r="Q155" s="2"/>
      <c r="R155" s="2"/>
    </row>
    <row r="156" customFormat="false" ht="15" hidden="false" customHeight="false" outlineLevel="0" collapsed="false">
      <c r="A156" s="2"/>
      <c r="B156" s="2"/>
      <c r="C156" s="2"/>
      <c r="D156" s="2"/>
      <c r="E156" s="2"/>
      <c r="F156" s="2"/>
      <c r="G156" s="2"/>
      <c r="H156" s="2"/>
      <c r="I156" s="2"/>
      <c r="J156" s="2"/>
      <c r="K156" s="2"/>
      <c r="L156" s="2"/>
      <c r="M156" s="2"/>
      <c r="N156" s="2"/>
      <c r="O156" s="2"/>
      <c r="P156" s="2"/>
      <c r="Q156" s="2"/>
      <c r="R156" s="2"/>
    </row>
    <row r="157" customFormat="false" ht="15" hidden="false" customHeight="false" outlineLevel="0" collapsed="false">
      <c r="A157" s="2"/>
      <c r="B157" s="2"/>
      <c r="C157" s="2"/>
      <c r="D157" s="2"/>
      <c r="E157" s="2"/>
      <c r="F157" s="2"/>
      <c r="G157" s="2"/>
      <c r="H157" s="2"/>
      <c r="I157" s="2"/>
      <c r="J157" s="2"/>
      <c r="K157" s="2"/>
      <c r="L157" s="2"/>
      <c r="M157" s="2"/>
      <c r="N157" s="2"/>
      <c r="O157" s="2"/>
      <c r="P157" s="2"/>
      <c r="Q157" s="2"/>
      <c r="R157" s="2"/>
    </row>
    <row r="158" customFormat="false" ht="15" hidden="false" customHeight="false" outlineLevel="0" collapsed="false">
      <c r="A158" s="2"/>
      <c r="B158" s="2"/>
      <c r="C158" s="2"/>
      <c r="D158" s="2"/>
      <c r="E158" s="2"/>
      <c r="F158" s="2"/>
      <c r="G158" s="2"/>
      <c r="H158" s="2"/>
      <c r="I158" s="2"/>
      <c r="J158" s="2"/>
      <c r="K158" s="2"/>
      <c r="L158" s="2"/>
      <c r="M158" s="2"/>
      <c r="N158" s="2"/>
      <c r="O158" s="2"/>
      <c r="P158" s="2"/>
      <c r="Q158" s="2"/>
      <c r="R158" s="2"/>
    </row>
    <row r="159" customFormat="false" ht="15" hidden="false" customHeight="false" outlineLevel="0" collapsed="false">
      <c r="A159" s="2"/>
      <c r="B159" s="2"/>
      <c r="C159" s="2"/>
      <c r="D159" s="2"/>
      <c r="E159" s="2"/>
      <c r="F159" s="2"/>
      <c r="G159" s="2"/>
      <c r="H159" s="2"/>
      <c r="I159" s="2"/>
      <c r="J159" s="2"/>
      <c r="K159" s="2"/>
      <c r="L159" s="2"/>
      <c r="M159" s="2"/>
      <c r="N159" s="2"/>
      <c r="O159" s="2"/>
      <c r="P159" s="2"/>
      <c r="Q159" s="2"/>
      <c r="R159" s="2"/>
    </row>
    <row r="160" customFormat="false" ht="15" hidden="false" customHeight="false" outlineLevel="0" collapsed="false">
      <c r="A160" s="2"/>
      <c r="B160" s="2"/>
      <c r="C160" s="2"/>
      <c r="D160" s="2"/>
      <c r="E160" s="2"/>
      <c r="F160" s="2"/>
      <c r="G160" s="2"/>
      <c r="H160" s="2"/>
      <c r="I160" s="2"/>
      <c r="J160" s="2"/>
      <c r="K160" s="2"/>
      <c r="L160" s="2"/>
      <c r="M160" s="2"/>
      <c r="N160" s="2"/>
      <c r="O160" s="2"/>
      <c r="P160" s="2"/>
      <c r="Q160" s="2"/>
      <c r="R160" s="2"/>
    </row>
    <row r="161" customFormat="false" ht="15" hidden="false" customHeight="false" outlineLevel="0" collapsed="false">
      <c r="A161" s="2"/>
      <c r="B161" s="2"/>
      <c r="C161" s="2"/>
      <c r="D161" s="2"/>
      <c r="E161" s="2"/>
      <c r="F161" s="2"/>
      <c r="G161" s="2"/>
      <c r="H161" s="2"/>
      <c r="I161" s="2"/>
      <c r="J161" s="2"/>
      <c r="K161" s="2"/>
      <c r="L161" s="2"/>
      <c r="M161" s="2"/>
      <c r="N161" s="2"/>
      <c r="O161" s="2"/>
      <c r="P161" s="2"/>
      <c r="Q161" s="2"/>
      <c r="R161" s="2"/>
    </row>
    <row r="162" customFormat="false" ht="15" hidden="false" customHeight="false" outlineLevel="0" collapsed="false">
      <c r="A162" s="2"/>
      <c r="B162" s="2"/>
      <c r="C162" s="2"/>
      <c r="D162" s="2"/>
      <c r="E162" s="2"/>
      <c r="F162" s="2"/>
      <c r="G162" s="2"/>
      <c r="H162" s="2"/>
      <c r="I162" s="2"/>
      <c r="J162" s="2"/>
      <c r="K162" s="2"/>
      <c r="L162" s="2"/>
      <c r="M162" s="2"/>
      <c r="N162" s="2"/>
      <c r="O162" s="2"/>
      <c r="P162" s="2"/>
      <c r="Q162" s="2"/>
      <c r="R162" s="2"/>
    </row>
    <row r="163" customFormat="false" ht="15" hidden="false" customHeight="false" outlineLevel="0" collapsed="false">
      <c r="A163" s="2"/>
      <c r="B163" s="2"/>
      <c r="C163" s="2"/>
      <c r="D163" s="2"/>
      <c r="E163" s="2"/>
      <c r="F163" s="2"/>
      <c r="G163" s="2"/>
      <c r="H163" s="2"/>
      <c r="I163" s="2"/>
      <c r="J163" s="2"/>
      <c r="K163" s="2"/>
      <c r="L163" s="2"/>
      <c r="M163" s="2"/>
      <c r="N163" s="2"/>
      <c r="O163" s="2"/>
      <c r="P163" s="2"/>
      <c r="Q163" s="2"/>
      <c r="R163" s="2"/>
    </row>
    <row r="164" customFormat="false" ht="15" hidden="false" customHeight="false" outlineLevel="0" collapsed="false">
      <c r="A164" s="2"/>
      <c r="B164" s="2"/>
      <c r="C164" s="2"/>
      <c r="D164" s="2"/>
      <c r="E164" s="2"/>
      <c r="F164" s="2"/>
      <c r="G164" s="2"/>
      <c r="H164" s="2"/>
      <c r="I164" s="2"/>
      <c r="J164" s="2"/>
      <c r="K164" s="2"/>
      <c r="L164" s="2"/>
      <c r="M164" s="2"/>
      <c r="N164" s="2"/>
      <c r="O164" s="2"/>
      <c r="P164" s="2"/>
      <c r="Q164" s="2"/>
      <c r="R164" s="2"/>
    </row>
    <row r="165" customFormat="false" ht="15" hidden="false" customHeight="false" outlineLevel="0" collapsed="false">
      <c r="A165" s="2"/>
      <c r="B165" s="2"/>
      <c r="C165" s="2"/>
      <c r="D165" s="2"/>
      <c r="E165" s="2"/>
      <c r="F165" s="2"/>
      <c r="G165" s="2"/>
      <c r="H165" s="2"/>
      <c r="I165" s="2"/>
      <c r="J165" s="2"/>
      <c r="K165" s="2"/>
      <c r="L165" s="2"/>
      <c r="M165" s="2"/>
      <c r="N165" s="2"/>
      <c r="O165" s="2"/>
      <c r="P165" s="2"/>
      <c r="Q165" s="2"/>
      <c r="R165" s="2"/>
    </row>
    <row r="166" customFormat="false" ht="15" hidden="false" customHeight="false" outlineLevel="0" collapsed="false">
      <c r="A166" s="2"/>
      <c r="B166" s="2"/>
      <c r="C166" s="2"/>
      <c r="D166" s="2"/>
      <c r="E166" s="2"/>
      <c r="F166" s="2"/>
      <c r="G166" s="2"/>
      <c r="H166" s="2"/>
      <c r="I166" s="2"/>
      <c r="J166" s="2"/>
      <c r="K166" s="2"/>
      <c r="L166" s="2"/>
      <c r="M166" s="2"/>
      <c r="N166" s="2"/>
      <c r="O166" s="2"/>
      <c r="P166" s="2"/>
      <c r="Q166" s="2"/>
      <c r="R166" s="2"/>
    </row>
    <row r="167" customFormat="false" ht="15" hidden="false" customHeight="false" outlineLevel="0" collapsed="false">
      <c r="A167" s="2"/>
      <c r="B167" s="2"/>
      <c r="C167" s="2"/>
      <c r="D167" s="2"/>
      <c r="E167" s="2"/>
      <c r="F167" s="2"/>
      <c r="G167" s="2"/>
      <c r="H167" s="2"/>
      <c r="I167" s="2"/>
      <c r="J167" s="2"/>
      <c r="K167" s="2"/>
      <c r="L167" s="2"/>
      <c r="M167" s="2"/>
      <c r="N167" s="2"/>
      <c r="O167" s="2"/>
      <c r="P167" s="2"/>
      <c r="Q167" s="2"/>
      <c r="R167" s="2"/>
    </row>
    <row r="168" customFormat="false" ht="15" hidden="false" customHeight="false" outlineLevel="0" collapsed="false">
      <c r="A168" s="2"/>
      <c r="B168" s="2"/>
      <c r="C168" s="2"/>
      <c r="D168" s="2"/>
      <c r="E168" s="2"/>
      <c r="F168" s="2"/>
      <c r="G168" s="2"/>
      <c r="H168" s="2"/>
      <c r="I168" s="2"/>
      <c r="J168" s="2"/>
      <c r="K168" s="2"/>
      <c r="L168" s="2"/>
      <c r="M168" s="2"/>
      <c r="N168" s="2"/>
      <c r="O168" s="2"/>
      <c r="P168" s="2"/>
      <c r="Q168" s="2"/>
      <c r="R168" s="2"/>
    </row>
    <row r="169" customFormat="false" ht="15" hidden="false" customHeight="false" outlineLevel="0" collapsed="false">
      <c r="A169" s="2"/>
      <c r="B169" s="2"/>
      <c r="C169" s="2"/>
      <c r="D169" s="2"/>
      <c r="E169" s="2"/>
      <c r="F169" s="2"/>
      <c r="G169" s="2"/>
      <c r="H169" s="2"/>
      <c r="I169" s="2"/>
      <c r="J169" s="2"/>
      <c r="K169" s="2"/>
      <c r="L169" s="2"/>
      <c r="M169" s="2"/>
      <c r="N169" s="2"/>
      <c r="O169" s="2"/>
      <c r="P169" s="2"/>
      <c r="Q169" s="2"/>
      <c r="R169" s="2"/>
    </row>
    <row r="170" customFormat="false" ht="15" hidden="false" customHeight="false" outlineLevel="0" collapsed="false">
      <c r="A170" s="2"/>
      <c r="B170" s="2"/>
      <c r="C170" s="2"/>
      <c r="D170" s="2"/>
      <c r="E170" s="2"/>
      <c r="F170" s="2"/>
      <c r="G170" s="2"/>
      <c r="H170" s="2"/>
      <c r="I170" s="2"/>
      <c r="J170" s="2"/>
      <c r="K170" s="2"/>
      <c r="L170" s="2"/>
      <c r="M170" s="2"/>
      <c r="N170" s="2"/>
      <c r="O170" s="2"/>
      <c r="P170" s="2"/>
      <c r="Q170" s="2"/>
      <c r="R170" s="2"/>
    </row>
    <row r="171" customFormat="false" ht="15" hidden="false" customHeight="false" outlineLevel="0" collapsed="false">
      <c r="A171" s="2"/>
      <c r="B171" s="2"/>
      <c r="C171" s="2"/>
      <c r="D171" s="2"/>
      <c r="E171" s="2"/>
      <c r="F171" s="2"/>
      <c r="G171" s="2"/>
      <c r="H171" s="2"/>
      <c r="I171" s="2"/>
      <c r="J171" s="2"/>
      <c r="K171" s="2"/>
      <c r="L171" s="2"/>
      <c r="M171" s="2"/>
      <c r="N171" s="2"/>
      <c r="O171" s="2"/>
      <c r="P171" s="2"/>
      <c r="Q171" s="2"/>
      <c r="R171" s="2"/>
    </row>
    <row r="172" customFormat="false" ht="15" hidden="false" customHeight="false" outlineLevel="0" collapsed="false">
      <c r="A172" s="2"/>
      <c r="B172" s="2"/>
      <c r="C172" s="2"/>
      <c r="D172" s="2"/>
      <c r="E172" s="2"/>
      <c r="F172" s="2"/>
      <c r="G172" s="2"/>
      <c r="H172" s="2"/>
      <c r="I172" s="2"/>
      <c r="J172" s="2"/>
      <c r="K172" s="2"/>
      <c r="L172" s="2"/>
      <c r="M172" s="2"/>
      <c r="N172" s="2"/>
      <c r="O172" s="2"/>
      <c r="P172" s="2"/>
      <c r="Q172" s="2"/>
      <c r="R172" s="2"/>
    </row>
    <row r="173" customFormat="false" ht="15" hidden="false" customHeight="false" outlineLevel="0" collapsed="false">
      <c r="A173" s="2"/>
      <c r="B173" s="2"/>
      <c r="C173" s="2"/>
      <c r="D173" s="2"/>
      <c r="E173" s="2"/>
      <c r="F173" s="2"/>
      <c r="G173" s="2"/>
      <c r="H173" s="2"/>
      <c r="I173" s="2"/>
      <c r="J173" s="2"/>
      <c r="K173" s="2"/>
      <c r="L173" s="2"/>
      <c r="M173" s="2"/>
      <c r="N173" s="2"/>
      <c r="O173" s="2"/>
      <c r="P173" s="2"/>
      <c r="Q173" s="2"/>
      <c r="R173" s="2"/>
    </row>
    <row r="174" customFormat="false" ht="15" hidden="false" customHeight="false" outlineLevel="0" collapsed="false">
      <c r="A174" s="2"/>
      <c r="B174" s="2"/>
      <c r="C174" s="2"/>
      <c r="D174" s="2"/>
      <c r="E174" s="2"/>
      <c r="F174" s="2"/>
      <c r="G174" s="2"/>
      <c r="H174" s="2"/>
      <c r="I174" s="2"/>
      <c r="J174" s="2"/>
      <c r="K174" s="2"/>
      <c r="L174" s="2"/>
      <c r="M174" s="2"/>
      <c r="N174" s="2"/>
      <c r="O174" s="2"/>
      <c r="P174" s="2"/>
      <c r="Q174" s="2"/>
      <c r="R174" s="2"/>
    </row>
    <row r="175" customFormat="false" ht="15" hidden="false" customHeight="false" outlineLevel="0" collapsed="false">
      <c r="A175" s="2"/>
      <c r="B175" s="2"/>
      <c r="C175" s="2"/>
      <c r="D175" s="2"/>
      <c r="E175" s="2"/>
      <c r="F175" s="2"/>
      <c r="G175" s="2"/>
      <c r="H175" s="2"/>
      <c r="I175" s="2"/>
      <c r="J175" s="2"/>
      <c r="K175" s="2"/>
      <c r="L175" s="2"/>
      <c r="M175" s="2"/>
      <c r="N175" s="2"/>
      <c r="O175" s="2"/>
      <c r="P175" s="2"/>
      <c r="Q175" s="2"/>
      <c r="R175" s="2"/>
    </row>
    <row r="176" customFormat="false" ht="15" hidden="false" customHeight="false" outlineLevel="0" collapsed="false">
      <c r="A176" s="2"/>
      <c r="B176" s="2"/>
      <c r="C176" s="2"/>
      <c r="D176" s="2"/>
      <c r="E176" s="2"/>
      <c r="F176" s="2"/>
      <c r="G176" s="2"/>
      <c r="H176" s="2"/>
      <c r="I176" s="2"/>
      <c r="J176" s="2"/>
      <c r="K176" s="2"/>
      <c r="L176" s="2"/>
      <c r="M176" s="2"/>
      <c r="N176" s="2"/>
      <c r="O176" s="2"/>
      <c r="P176" s="2"/>
      <c r="Q176" s="2"/>
      <c r="R176" s="2"/>
    </row>
    <row r="177" customFormat="false" ht="15" hidden="false" customHeight="false" outlineLevel="0" collapsed="false">
      <c r="A177" s="2"/>
      <c r="B177" s="2"/>
      <c r="C177" s="2"/>
      <c r="D177" s="2"/>
      <c r="E177" s="2"/>
      <c r="F177" s="2"/>
      <c r="G177" s="2"/>
      <c r="H177" s="2"/>
      <c r="I177" s="2"/>
      <c r="J177" s="2"/>
      <c r="K177" s="2"/>
      <c r="L177" s="2"/>
      <c r="M177" s="2"/>
      <c r="N177" s="2"/>
      <c r="O177" s="2"/>
      <c r="P177" s="2"/>
      <c r="Q177" s="2"/>
      <c r="R177" s="2"/>
    </row>
    <row r="178" customFormat="false" ht="15" hidden="false" customHeight="false" outlineLevel="0" collapsed="false">
      <c r="A178" s="2"/>
      <c r="B178" s="2"/>
      <c r="C178" s="2"/>
      <c r="D178" s="2"/>
      <c r="E178" s="2"/>
      <c r="F178" s="2"/>
      <c r="G178" s="2"/>
      <c r="H178" s="2"/>
      <c r="I178" s="2"/>
      <c r="J178" s="2"/>
      <c r="K178" s="2"/>
      <c r="L178" s="2"/>
      <c r="M178" s="2"/>
      <c r="N178" s="2"/>
      <c r="O178" s="2"/>
      <c r="P178" s="2"/>
      <c r="Q178" s="2"/>
      <c r="R178" s="2"/>
    </row>
    <row r="179" customFormat="false" ht="15" hidden="false" customHeight="false" outlineLevel="0" collapsed="false">
      <c r="A179" s="2"/>
      <c r="B179" s="2"/>
      <c r="C179" s="2"/>
      <c r="D179" s="2"/>
      <c r="E179" s="2"/>
      <c r="F179" s="2"/>
      <c r="G179" s="2"/>
      <c r="H179" s="2"/>
      <c r="I179" s="2"/>
      <c r="J179" s="2"/>
      <c r="K179" s="2"/>
      <c r="L179" s="2"/>
      <c r="M179" s="2"/>
      <c r="N179" s="2"/>
      <c r="O179" s="2"/>
      <c r="P179" s="2"/>
      <c r="Q179" s="2"/>
      <c r="R179" s="2"/>
    </row>
    <row r="180" customFormat="false" ht="15" hidden="false" customHeight="false" outlineLevel="0" collapsed="false">
      <c r="A180" s="2"/>
      <c r="B180" s="2"/>
      <c r="C180" s="2"/>
      <c r="D180" s="2"/>
      <c r="E180" s="2"/>
      <c r="F180" s="2"/>
      <c r="G180" s="2"/>
      <c r="H180" s="2"/>
      <c r="I180" s="2"/>
      <c r="J180" s="2"/>
      <c r="K180" s="2"/>
      <c r="L180" s="2"/>
      <c r="M180" s="2"/>
      <c r="N180" s="2"/>
      <c r="O180" s="2"/>
      <c r="P180" s="2"/>
      <c r="Q180" s="2"/>
      <c r="R180" s="2"/>
    </row>
    <row r="181" customFormat="false" ht="15" hidden="false" customHeight="false" outlineLevel="0" collapsed="false">
      <c r="A181" s="2"/>
      <c r="B181" s="2"/>
      <c r="C181" s="2"/>
      <c r="D181" s="2"/>
      <c r="E181" s="2"/>
      <c r="F181" s="2"/>
      <c r="G181" s="2"/>
      <c r="H181" s="2"/>
      <c r="I181" s="2"/>
      <c r="J181" s="2"/>
      <c r="K181" s="2"/>
      <c r="L181" s="2"/>
      <c r="M181" s="2"/>
      <c r="N181" s="2"/>
      <c r="O181" s="2"/>
      <c r="P181" s="2"/>
      <c r="Q181" s="2"/>
      <c r="R181" s="2"/>
    </row>
    <row r="182" customFormat="false" ht="15" hidden="false" customHeight="false" outlineLevel="0" collapsed="false">
      <c r="A182" s="2"/>
      <c r="B182" s="2"/>
      <c r="C182" s="2"/>
      <c r="D182" s="2"/>
      <c r="E182" s="2"/>
      <c r="F182" s="2"/>
      <c r="G182" s="2"/>
      <c r="H182" s="2"/>
      <c r="I182" s="2"/>
      <c r="J182" s="2"/>
      <c r="K182" s="2"/>
      <c r="L182" s="2"/>
      <c r="M182" s="2"/>
      <c r="N182" s="2"/>
      <c r="O182" s="2"/>
      <c r="P182" s="2"/>
      <c r="Q182" s="2"/>
      <c r="R182" s="2"/>
    </row>
    <row r="183" customFormat="false" ht="15" hidden="false" customHeight="false" outlineLevel="0" collapsed="false">
      <c r="A183" s="2"/>
      <c r="B183" s="2"/>
      <c r="C183" s="2"/>
      <c r="D183" s="2"/>
      <c r="E183" s="2"/>
      <c r="F183" s="2"/>
      <c r="G183" s="2"/>
      <c r="H183" s="2"/>
      <c r="I183" s="2"/>
      <c r="J183" s="2"/>
      <c r="K183" s="2"/>
      <c r="L183" s="2"/>
      <c r="M183" s="2"/>
      <c r="N183" s="2"/>
      <c r="O183" s="2"/>
      <c r="P183" s="2"/>
      <c r="Q183" s="2"/>
      <c r="R183" s="2"/>
    </row>
    <row r="184" customFormat="false" ht="15" hidden="false" customHeight="false" outlineLevel="0" collapsed="false">
      <c r="A184" s="2"/>
      <c r="B184" s="2"/>
      <c r="C184" s="2"/>
      <c r="D184" s="2"/>
      <c r="E184" s="2"/>
      <c r="F184" s="2"/>
      <c r="G184" s="2"/>
      <c r="H184" s="2"/>
      <c r="I184" s="2"/>
      <c r="J184" s="2"/>
      <c r="K184" s="2"/>
      <c r="L184" s="2"/>
      <c r="M184" s="2"/>
      <c r="N184" s="2"/>
      <c r="O184" s="2"/>
      <c r="P184" s="2"/>
      <c r="Q184" s="2"/>
      <c r="R184" s="2"/>
    </row>
    <row r="185" customFormat="false" ht="15" hidden="false" customHeight="false" outlineLevel="0" collapsed="false">
      <c r="A185" s="2"/>
      <c r="B185" s="2"/>
      <c r="C185" s="2"/>
      <c r="D185" s="2"/>
      <c r="E185" s="2"/>
      <c r="F185" s="2"/>
      <c r="G185" s="2"/>
      <c r="H185" s="2"/>
      <c r="I185" s="2"/>
      <c r="J185" s="2"/>
      <c r="K185" s="2"/>
      <c r="L185" s="2"/>
      <c r="M185" s="2"/>
      <c r="N185" s="2"/>
      <c r="O185" s="2"/>
      <c r="P185" s="2"/>
      <c r="Q185" s="2"/>
      <c r="R185" s="2"/>
    </row>
    <row r="186" customFormat="false" ht="15" hidden="false" customHeight="false" outlineLevel="0" collapsed="false">
      <c r="A186" s="2"/>
      <c r="B186" s="2"/>
      <c r="C186" s="2"/>
      <c r="D186" s="2"/>
      <c r="E186" s="2"/>
      <c r="F186" s="2"/>
      <c r="G186" s="2"/>
      <c r="H186" s="2"/>
      <c r="I186" s="2"/>
      <c r="J186" s="2"/>
      <c r="K186" s="2"/>
      <c r="L186" s="2"/>
      <c r="M186" s="2"/>
      <c r="N186" s="2"/>
      <c r="O186" s="2"/>
      <c r="P186" s="2"/>
      <c r="Q186" s="2"/>
      <c r="R186" s="2"/>
    </row>
    <row r="187" customFormat="false" ht="15" hidden="false" customHeight="false" outlineLevel="0" collapsed="false">
      <c r="A187" s="2"/>
      <c r="B187" s="2"/>
      <c r="C187" s="2"/>
      <c r="D187" s="2"/>
      <c r="E187" s="2"/>
      <c r="F187" s="2"/>
      <c r="G187" s="2"/>
      <c r="H187" s="2"/>
      <c r="I187" s="2"/>
      <c r="J187" s="2"/>
      <c r="K187" s="2"/>
      <c r="L187" s="2"/>
      <c r="M187" s="2"/>
      <c r="N187" s="2"/>
      <c r="O187" s="2"/>
      <c r="P187" s="2"/>
      <c r="Q187" s="2"/>
      <c r="R187" s="2"/>
    </row>
    <row r="188" customFormat="false" ht="15" hidden="false" customHeight="false" outlineLevel="0" collapsed="false">
      <c r="A188" s="2"/>
      <c r="B188" s="2"/>
      <c r="C188" s="2"/>
      <c r="D188" s="2"/>
      <c r="E188" s="2"/>
      <c r="F188" s="2"/>
      <c r="G188" s="2"/>
      <c r="H188" s="2"/>
      <c r="I188" s="2"/>
      <c r="J188" s="2"/>
      <c r="K188" s="2"/>
      <c r="L188" s="2"/>
      <c r="M188" s="2"/>
      <c r="N188" s="2"/>
      <c r="O188" s="2"/>
      <c r="P188" s="2"/>
      <c r="Q188" s="2"/>
      <c r="R188" s="2"/>
    </row>
    <row r="189" customFormat="false" ht="15" hidden="false" customHeight="false" outlineLevel="0" collapsed="false">
      <c r="A189" s="2"/>
      <c r="B189" s="2"/>
      <c r="C189" s="2"/>
      <c r="D189" s="2"/>
      <c r="E189" s="2"/>
      <c r="F189" s="2"/>
      <c r="G189" s="2"/>
      <c r="H189" s="2"/>
      <c r="I189" s="2"/>
      <c r="J189" s="2"/>
      <c r="K189" s="2"/>
      <c r="L189" s="2"/>
      <c r="M189" s="2"/>
      <c r="N189" s="2"/>
      <c r="O189" s="2"/>
      <c r="P189" s="2"/>
      <c r="Q189" s="2"/>
      <c r="R189" s="2"/>
    </row>
    <row r="190" customFormat="false" ht="15" hidden="false" customHeight="false" outlineLevel="0" collapsed="false">
      <c r="A190" s="2"/>
      <c r="B190" s="2"/>
      <c r="C190" s="2"/>
      <c r="D190" s="2"/>
      <c r="E190" s="2"/>
      <c r="F190" s="2"/>
      <c r="G190" s="2"/>
      <c r="H190" s="2"/>
      <c r="I190" s="2"/>
      <c r="J190" s="2"/>
      <c r="K190" s="2"/>
      <c r="L190" s="2"/>
      <c r="M190" s="2"/>
      <c r="N190" s="2"/>
      <c r="O190" s="2"/>
      <c r="P190" s="2"/>
      <c r="Q190" s="2"/>
      <c r="R190" s="2"/>
    </row>
    <row r="191" customFormat="false" ht="15" hidden="false" customHeight="false" outlineLevel="0" collapsed="false">
      <c r="A191" s="2"/>
      <c r="B191" s="2"/>
      <c r="C191" s="2"/>
      <c r="D191" s="2"/>
      <c r="E191" s="2"/>
      <c r="F191" s="2"/>
      <c r="G191" s="2"/>
      <c r="H191" s="2"/>
      <c r="I191" s="2"/>
      <c r="J191" s="2"/>
      <c r="K191" s="2"/>
      <c r="L191" s="2"/>
      <c r="M191" s="2"/>
      <c r="N191" s="2"/>
      <c r="O191" s="2"/>
      <c r="P191" s="2"/>
      <c r="Q191" s="2"/>
      <c r="R191" s="2"/>
    </row>
    <row r="192" customFormat="false" ht="15" hidden="false" customHeight="false" outlineLevel="0" collapsed="false">
      <c r="A192" s="2"/>
      <c r="B192" s="2"/>
      <c r="C192" s="2"/>
      <c r="D192" s="2"/>
      <c r="E192" s="2"/>
      <c r="F192" s="2"/>
      <c r="G192" s="2"/>
      <c r="H192" s="2"/>
      <c r="I192" s="2"/>
      <c r="J192" s="2"/>
      <c r="K192" s="2"/>
      <c r="L192" s="2"/>
      <c r="M192" s="2"/>
      <c r="N192" s="2"/>
      <c r="O192" s="2"/>
      <c r="P192" s="2"/>
      <c r="Q192" s="2"/>
      <c r="R192" s="2"/>
    </row>
    <row r="193" customFormat="false" ht="15" hidden="false" customHeight="false" outlineLevel="0" collapsed="false">
      <c r="A193" s="2"/>
      <c r="B193" s="2"/>
      <c r="C193" s="2"/>
      <c r="D193" s="2"/>
      <c r="E193" s="2"/>
      <c r="F193" s="2"/>
      <c r="G193" s="2"/>
      <c r="H193" s="2"/>
      <c r="I193" s="2"/>
      <c r="J193" s="2"/>
      <c r="K193" s="2"/>
      <c r="L193" s="2"/>
      <c r="M193" s="2"/>
      <c r="N193" s="2"/>
      <c r="O193" s="2"/>
      <c r="P193" s="2"/>
      <c r="Q193" s="2"/>
      <c r="R193" s="2"/>
    </row>
    <row r="194" customFormat="false" ht="15" hidden="false" customHeight="false" outlineLevel="0" collapsed="false">
      <c r="A194" s="2"/>
      <c r="B194" s="2"/>
      <c r="C194" s="2"/>
      <c r="D194" s="2"/>
      <c r="E194" s="2"/>
      <c r="F194" s="2"/>
      <c r="G194" s="2"/>
      <c r="H194" s="2"/>
      <c r="I194" s="2"/>
      <c r="J194" s="2"/>
      <c r="K194" s="2"/>
      <c r="L194" s="2"/>
      <c r="M194" s="2"/>
      <c r="N194" s="2"/>
      <c r="O194" s="2"/>
      <c r="P194" s="2"/>
      <c r="Q194" s="2"/>
      <c r="R194" s="2"/>
    </row>
    <row r="195" customFormat="false" ht="15" hidden="false" customHeight="false" outlineLevel="0" collapsed="false">
      <c r="A195" s="2"/>
      <c r="B195" s="2"/>
      <c r="C195" s="2"/>
      <c r="D195" s="2"/>
      <c r="E195" s="2"/>
      <c r="F195" s="2"/>
      <c r="G195" s="2"/>
      <c r="H195" s="2"/>
      <c r="I195" s="2"/>
      <c r="J195" s="2"/>
      <c r="K195" s="2"/>
      <c r="L195" s="2"/>
      <c r="M195" s="2"/>
      <c r="N195" s="2"/>
      <c r="O195" s="2"/>
      <c r="P195" s="2"/>
      <c r="Q195" s="2"/>
      <c r="R195" s="2"/>
    </row>
    <row r="196" customFormat="false" ht="15" hidden="false" customHeight="false" outlineLevel="0" collapsed="false">
      <c r="A196" s="2"/>
      <c r="B196" s="2"/>
      <c r="C196" s="2"/>
      <c r="D196" s="2"/>
      <c r="E196" s="2"/>
      <c r="F196" s="2"/>
      <c r="G196" s="2"/>
      <c r="H196" s="2"/>
      <c r="I196" s="2"/>
      <c r="J196" s="2"/>
      <c r="K196" s="2"/>
      <c r="L196" s="2"/>
      <c r="M196" s="2"/>
      <c r="N196" s="2"/>
      <c r="O196" s="2"/>
      <c r="P196" s="2"/>
      <c r="Q196" s="2"/>
      <c r="R196" s="2"/>
    </row>
    <row r="197" customFormat="false" ht="15" hidden="false" customHeight="false" outlineLevel="0" collapsed="false">
      <c r="A197" s="2"/>
      <c r="B197" s="2"/>
      <c r="C197" s="2"/>
      <c r="D197" s="2"/>
      <c r="E197" s="2"/>
      <c r="F197" s="2"/>
      <c r="G197" s="2"/>
      <c r="H197" s="2"/>
      <c r="I197" s="2"/>
      <c r="J197" s="2"/>
      <c r="K197" s="2"/>
      <c r="L197" s="2"/>
      <c r="M197" s="2"/>
      <c r="N197" s="2"/>
      <c r="O197" s="2"/>
      <c r="P197" s="2"/>
      <c r="Q197" s="2"/>
      <c r="R197" s="2"/>
    </row>
    <row r="198" customFormat="false" ht="15" hidden="false" customHeight="false" outlineLevel="0" collapsed="false">
      <c r="A198" s="2"/>
      <c r="B198" s="2"/>
      <c r="C198" s="2"/>
      <c r="D198" s="2"/>
      <c r="E198" s="2"/>
      <c r="F198" s="2"/>
      <c r="G198" s="2"/>
      <c r="H198" s="2"/>
      <c r="I198" s="2"/>
      <c r="J198" s="2"/>
      <c r="K198" s="2"/>
      <c r="L198" s="2"/>
      <c r="M198" s="2"/>
      <c r="N198" s="2"/>
      <c r="O198" s="2"/>
      <c r="P198" s="2"/>
      <c r="Q198" s="2"/>
      <c r="R198" s="2"/>
    </row>
    <row r="199" customFormat="false" ht="15" hidden="false" customHeight="false" outlineLevel="0" collapsed="false">
      <c r="A199" s="2"/>
      <c r="B199" s="2"/>
      <c r="C199" s="2"/>
      <c r="D199" s="2"/>
      <c r="E199" s="2"/>
      <c r="F199" s="2"/>
      <c r="G199" s="2"/>
      <c r="H199" s="2"/>
      <c r="I199" s="2"/>
      <c r="J199" s="2"/>
      <c r="K199" s="2"/>
      <c r="L199" s="2"/>
      <c r="M199" s="2"/>
      <c r="N199" s="2"/>
      <c r="O199" s="2"/>
      <c r="P199" s="2"/>
      <c r="Q199" s="2"/>
      <c r="R199" s="2"/>
    </row>
    <row r="200" customFormat="false" ht="15" hidden="false" customHeight="false" outlineLevel="0" collapsed="false">
      <c r="A200" s="2"/>
      <c r="B200" s="2"/>
      <c r="C200" s="2"/>
      <c r="D200" s="2"/>
      <c r="E200" s="2"/>
      <c r="F200" s="2"/>
      <c r="G200" s="2"/>
      <c r="H200" s="2"/>
      <c r="I200" s="2"/>
      <c r="J200" s="2"/>
      <c r="K200" s="2"/>
      <c r="L200" s="2"/>
      <c r="M200" s="2"/>
      <c r="N200" s="2"/>
      <c r="O200" s="2"/>
      <c r="P200" s="2"/>
      <c r="Q200" s="2"/>
      <c r="R200" s="2"/>
    </row>
    <row r="201" customFormat="false" ht="15" hidden="false" customHeight="false" outlineLevel="0" collapsed="false">
      <c r="A201" s="2"/>
      <c r="B201" s="2"/>
      <c r="C201" s="2"/>
      <c r="D201" s="2"/>
      <c r="E201" s="2"/>
      <c r="F201" s="2"/>
      <c r="G201" s="2"/>
      <c r="H201" s="2"/>
      <c r="I201" s="2"/>
      <c r="J201" s="2"/>
      <c r="K201" s="2"/>
      <c r="L201" s="2"/>
      <c r="M201" s="2"/>
      <c r="N201" s="2"/>
      <c r="O201" s="2"/>
      <c r="P201" s="2"/>
      <c r="Q201" s="2"/>
      <c r="R201" s="2"/>
    </row>
    <row r="202" customFormat="false" ht="15" hidden="false" customHeight="false" outlineLevel="0" collapsed="false">
      <c r="A202" s="2"/>
      <c r="B202" s="2"/>
      <c r="C202" s="2"/>
      <c r="D202" s="2"/>
      <c r="E202" s="2"/>
      <c r="F202" s="2"/>
      <c r="G202" s="2"/>
      <c r="H202" s="2"/>
      <c r="I202" s="2"/>
      <c r="J202" s="2"/>
      <c r="K202" s="2"/>
      <c r="L202" s="2"/>
      <c r="M202" s="2"/>
      <c r="N202" s="2"/>
      <c r="O202" s="2"/>
      <c r="P202" s="2"/>
      <c r="Q202" s="2"/>
      <c r="R202" s="2"/>
    </row>
    <row r="203" customFormat="false" ht="15" hidden="false" customHeight="false" outlineLevel="0" collapsed="false">
      <c r="A203" s="2"/>
      <c r="B203" s="2"/>
      <c r="C203" s="2"/>
      <c r="D203" s="2"/>
      <c r="E203" s="2"/>
      <c r="F203" s="2"/>
      <c r="G203" s="2"/>
      <c r="H203" s="2"/>
      <c r="I203" s="2"/>
      <c r="J203" s="2"/>
      <c r="K203" s="2"/>
      <c r="L203" s="2"/>
      <c r="M203" s="2"/>
      <c r="N203" s="2"/>
      <c r="O203" s="2"/>
      <c r="P203" s="2"/>
      <c r="Q203" s="2"/>
      <c r="R203" s="2"/>
    </row>
    <row r="204" customFormat="false" ht="15" hidden="false" customHeight="false" outlineLevel="0" collapsed="false">
      <c r="A204" s="2"/>
      <c r="B204" s="2"/>
      <c r="C204" s="2"/>
      <c r="D204" s="2"/>
      <c r="E204" s="2"/>
      <c r="F204" s="2"/>
      <c r="G204" s="2"/>
      <c r="H204" s="2"/>
      <c r="I204" s="2"/>
      <c r="J204" s="2"/>
      <c r="K204" s="2"/>
      <c r="L204" s="2"/>
      <c r="M204" s="2"/>
      <c r="N204" s="2"/>
      <c r="O204" s="2"/>
      <c r="P204" s="2"/>
      <c r="Q204" s="2"/>
      <c r="R204" s="2"/>
    </row>
    <row r="205" customFormat="false" ht="15" hidden="false" customHeight="false" outlineLevel="0" collapsed="false">
      <c r="A205" s="2"/>
      <c r="B205" s="2"/>
      <c r="C205" s="2"/>
      <c r="D205" s="2"/>
      <c r="E205" s="2"/>
      <c r="F205" s="2"/>
      <c r="G205" s="2"/>
      <c r="H205" s="2"/>
      <c r="I205" s="2"/>
      <c r="J205" s="2"/>
      <c r="K205" s="2"/>
      <c r="L205" s="2"/>
      <c r="M205" s="2"/>
      <c r="N205" s="2"/>
      <c r="O205" s="2"/>
      <c r="P205" s="2"/>
      <c r="Q205" s="2"/>
      <c r="R205" s="2"/>
    </row>
    <row r="206" customFormat="false" ht="15" hidden="false" customHeight="false" outlineLevel="0" collapsed="false">
      <c r="A206" s="2"/>
      <c r="B206" s="2"/>
      <c r="C206" s="2"/>
      <c r="D206" s="2"/>
      <c r="E206" s="2"/>
      <c r="F206" s="2"/>
      <c r="G206" s="2"/>
      <c r="H206" s="2"/>
      <c r="I206" s="2"/>
      <c r="J206" s="2"/>
      <c r="K206" s="2"/>
      <c r="L206" s="2"/>
      <c r="M206" s="2"/>
      <c r="N206" s="2"/>
      <c r="O206" s="2"/>
      <c r="P206" s="2"/>
      <c r="Q206" s="2"/>
      <c r="R206" s="2"/>
    </row>
    <row r="207" customFormat="false" ht="15" hidden="false" customHeight="false" outlineLevel="0" collapsed="false">
      <c r="A207" s="2"/>
      <c r="B207" s="2"/>
      <c r="C207" s="2"/>
      <c r="D207" s="2"/>
      <c r="E207" s="2"/>
      <c r="F207" s="2"/>
      <c r="G207" s="2"/>
      <c r="H207" s="2"/>
      <c r="I207" s="2"/>
      <c r="J207" s="2"/>
      <c r="K207" s="2"/>
      <c r="L207" s="2"/>
      <c r="M207" s="2"/>
      <c r="N207" s="2"/>
      <c r="O207" s="2"/>
      <c r="P207" s="2"/>
      <c r="Q207" s="2"/>
      <c r="R207" s="2"/>
    </row>
    <row r="208" customFormat="false" ht="15" hidden="false" customHeight="false" outlineLevel="0" collapsed="false">
      <c r="A208" s="2"/>
      <c r="B208" s="2"/>
      <c r="C208" s="2"/>
      <c r="D208" s="2"/>
      <c r="E208" s="2"/>
      <c r="F208" s="2"/>
      <c r="G208" s="2"/>
      <c r="H208" s="2"/>
      <c r="I208" s="2"/>
      <c r="J208" s="2"/>
      <c r="K208" s="2"/>
      <c r="L208" s="2"/>
      <c r="M208" s="2"/>
      <c r="N208" s="2"/>
      <c r="O208" s="2"/>
      <c r="P208" s="2"/>
      <c r="Q208" s="2"/>
      <c r="R208" s="2"/>
    </row>
    <row r="209" customFormat="false" ht="15" hidden="false" customHeight="false" outlineLevel="0" collapsed="false">
      <c r="A209" s="2"/>
      <c r="B209" s="2"/>
      <c r="C209" s="2"/>
      <c r="D209" s="2"/>
      <c r="E209" s="2"/>
      <c r="F209" s="2"/>
      <c r="G209" s="2"/>
      <c r="H209" s="2"/>
      <c r="I209" s="2"/>
      <c r="J209" s="2"/>
      <c r="K209" s="2"/>
      <c r="L209" s="2"/>
      <c r="M209" s="2"/>
      <c r="N209" s="2"/>
      <c r="O209" s="2"/>
      <c r="P209" s="2"/>
      <c r="Q209" s="2"/>
      <c r="R209" s="2"/>
    </row>
    <row r="210" customFormat="false" ht="15" hidden="false" customHeight="false" outlineLevel="0" collapsed="false">
      <c r="A210" s="2"/>
      <c r="B210" s="2"/>
      <c r="C210" s="2"/>
      <c r="D210" s="2"/>
      <c r="E210" s="2"/>
      <c r="F210" s="2"/>
      <c r="G210" s="2"/>
      <c r="H210" s="2"/>
      <c r="I210" s="2"/>
      <c r="J210" s="2"/>
      <c r="K210" s="2"/>
      <c r="L210" s="2"/>
      <c r="M210" s="2"/>
      <c r="N210" s="2"/>
      <c r="O210" s="2"/>
      <c r="P210" s="2"/>
      <c r="Q210" s="2"/>
      <c r="R210" s="2"/>
    </row>
    <row r="211" customFormat="false" ht="15" hidden="false" customHeight="false" outlineLevel="0" collapsed="false">
      <c r="A211" s="2"/>
      <c r="B211" s="2"/>
      <c r="C211" s="2"/>
      <c r="D211" s="2"/>
      <c r="E211" s="2"/>
      <c r="F211" s="2"/>
      <c r="G211" s="2"/>
      <c r="H211" s="2"/>
      <c r="I211" s="2"/>
      <c r="J211" s="2"/>
      <c r="K211" s="2"/>
      <c r="L211" s="2"/>
      <c r="M211" s="2"/>
      <c r="N211" s="2"/>
      <c r="O211" s="2"/>
      <c r="P211" s="2"/>
      <c r="Q211" s="2"/>
      <c r="R211" s="2"/>
    </row>
    <row r="212" customFormat="false" ht="15" hidden="false" customHeight="false" outlineLevel="0" collapsed="false">
      <c r="A212" s="2"/>
      <c r="B212" s="2"/>
      <c r="C212" s="2"/>
      <c r="D212" s="2"/>
      <c r="E212" s="2"/>
      <c r="F212" s="2"/>
      <c r="G212" s="2"/>
      <c r="H212" s="2"/>
      <c r="I212" s="2"/>
      <c r="J212" s="2"/>
      <c r="K212" s="2"/>
      <c r="L212" s="2"/>
      <c r="M212" s="2"/>
      <c r="N212" s="2"/>
      <c r="O212" s="2"/>
      <c r="P212" s="2"/>
      <c r="Q212" s="2"/>
      <c r="R212" s="2"/>
    </row>
    <row r="213" customFormat="false" ht="15" hidden="false" customHeight="false" outlineLevel="0" collapsed="false">
      <c r="A213" s="2"/>
      <c r="B213" s="2"/>
      <c r="C213" s="2"/>
      <c r="D213" s="2"/>
      <c r="E213" s="2"/>
      <c r="F213" s="2"/>
      <c r="G213" s="2"/>
      <c r="H213" s="2"/>
      <c r="I213" s="2"/>
      <c r="J213" s="2"/>
      <c r="K213" s="2"/>
      <c r="L213" s="2"/>
      <c r="M213" s="2"/>
      <c r="N213" s="2"/>
      <c r="O213" s="2"/>
      <c r="P213" s="2"/>
      <c r="Q213" s="2"/>
      <c r="R213" s="2"/>
    </row>
    <row r="214" customFormat="false" ht="15" hidden="false" customHeight="false" outlineLevel="0" collapsed="false">
      <c r="A214" s="2"/>
      <c r="B214" s="2"/>
      <c r="C214" s="2"/>
      <c r="D214" s="2"/>
      <c r="E214" s="2"/>
      <c r="F214" s="2"/>
      <c r="G214" s="2"/>
      <c r="H214" s="2"/>
      <c r="I214" s="2"/>
      <c r="J214" s="2"/>
      <c r="K214" s="2"/>
      <c r="L214" s="2"/>
      <c r="M214" s="2"/>
      <c r="N214" s="2"/>
      <c r="O214" s="2"/>
      <c r="P214" s="2"/>
      <c r="Q214" s="2"/>
      <c r="R214" s="2"/>
    </row>
    <row r="215" customFormat="false" ht="15" hidden="false" customHeight="false" outlineLevel="0" collapsed="false">
      <c r="A215" s="2"/>
      <c r="B215" s="2"/>
      <c r="C215" s="2"/>
      <c r="D215" s="2"/>
      <c r="E215" s="2"/>
      <c r="F215" s="2"/>
      <c r="G215" s="2"/>
      <c r="H215" s="2"/>
      <c r="I215" s="2"/>
      <c r="J215" s="2"/>
      <c r="K215" s="2"/>
      <c r="L215" s="2"/>
      <c r="M215" s="2"/>
      <c r="N215" s="2"/>
      <c r="O215" s="2"/>
      <c r="P215" s="2"/>
      <c r="Q215" s="2"/>
      <c r="R215" s="2"/>
    </row>
    <row r="216" customFormat="false" ht="15" hidden="false" customHeight="false" outlineLevel="0" collapsed="false">
      <c r="A216" s="2"/>
      <c r="B216" s="2"/>
      <c r="C216" s="2"/>
      <c r="D216" s="2"/>
      <c r="E216" s="2"/>
      <c r="F216" s="2"/>
      <c r="G216" s="2"/>
      <c r="H216" s="2"/>
      <c r="I216" s="2"/>
      <c r="J216" s="2"/>
      <c r="K216" s="2"/>
      <c r="L216" s="2"/>
      <c r="M216" s="2"/>
      <c r="N216" s="2"/>
      <c r="O216" s="2"/>
      <c r="P216" s="2"/>
      <c r="Q216" s="2"/>
      <c r="R216" s="2"/>
    </row>
    <row r="217" customFormat="false" ht="15" hidden="false" customHeight="false" outlineLevel="0" collapsed="false">
      <c r="A217" s="2"/>
      <c r="B217" s="2"/>
      <c r="C217" s="2"/>
      <c r="D217" s="2"/>
      <c r="E217" s="2"/>
      <c r="F217" s="2"/>
      <c r="G217" s="2"/>
      <c r="H217" s="2"/>
      <c r="I217" s="2"/>
      <c r="J217" s="2"/>
      <c r="K217" s="2"/>
      <c r="L217" s="2"/>
      <c r="M217" s="2"/>
      <c r="N217" s="2"/>
      <c r="O217" s="2"/>
      <c r="P217" s="2"/>
      <c r="Q217" s="2"/>
      <c r="R217" s="2"/>
    </row>
    <row r="218" customFormat="false" ht="15" hidden="false" customHeight="false" outlineLevel="0" collapsed="false">
      <c r="A218" s="2"/>
      <c r="B218" s="2"/>
      <c r="C218" s="2"/>
      <c r="D218" s="2"/>
      <c r="E218" s="2"/>
      <c r="F218" s="2"/>
      <c r="G218" s="2"/>
      <c r="H218" s="2"/>
      <c r="I218" s="2"/>
      <c r="J218" s="2"/>
      <c r="K218" s="2"/>
      <c r="L218" s="2"/>
      <c r="M218" s="2"/>
      <c r="N218" s="2"/>
      <c r="O218" s="2"/>
      <c r="P218" s="2"/>
      <c r="Q218" s="2"/>
      <c r="R218" s="2"/>
    </row>
    <row r="219" customFormat="false" ht="15" hidden="false" customHeight="false" outlineLevel="0" collapsed="false">
      <c r="A219" s="2"/>
      <c r="B219" s="2"/>
      <c r="C219" s="2"/>
      <c r="D219" s="2"/>
      <c r="E219" s="2"/>
      <c r="F219" s="2"/>
      <c r="G219" s="2"/>
      <c r="H219" s="2"/>
      <c r="I219" s="2"/>
      <c r="J219" s="2"/>
      <c r="K219" s="2"/>
      <c r="L219" s="2"/>
      <c r="M219" s="2"/>
      <c r="N219" s="2"/>
      <c r="O219" s="2"/>
      <c r="P219" s="2"/>
      <c r="Q219" s="2"/>
      <c r="R219" s="2"/>
    </row>
    <row r="220" customFormat="false" ht="15" hidden="false" customHeight="false" outlineLevel="0" collapsed="false">
      <c r="A220" s="2"/>
      <c r="B220" s="2"/>
      <c r="C220" s="2"/>
      <c r="D220" s="2"/>
      <c r="E220" s="2"/>
      <c r="F220" s="2"/>
      <c r="G220" s="2"/>
      <c r="H220" s="2"/>
      <c r="I220" s="2"/>
      <c r="J220" s="2"/>
      <c r="K220" s="2"/>
      <c r="L220" s="2"/>
      <c r="M220" s="2"/>
      <c r="N220" s="2"/>
      <c r="O220" s="2"/>
      <c r="P220" s="2"/>
      <c r="Q220" s="2"/>
      <c r="R220" s="2"/>
    </row>
    <row r="221" customFormat="false" ht="15" hidden="false" customHeight="false" outlineLevel="0" collapsed="false">
      <c r="A221" s="2"/>
      <c r="B221" s="2"/>
      <c r="C221" s="2"/>
      <c r="D221" s="2"/>
      <c r="E221" s="2"/>
      <c r="F221" s="2"/>
      <c r="G221" s="2"/>
      <c r="H221" s="2"/>
      <c r="I221" s="2"/>
      <c r="J221" s="2"/>
      <c r="K221" s="2"/>
      <c r="L221" s="2"/>
      <c r="M221" s="2"/>
      <c r="N221" s="2"/>
      <c r="O221" s="2"/>
      <c r="P221" s="2"/>
      <c r="Q221" s="2"/>
      <c r="R221" s="2"/>
    </row>
    <row r="222" customFormat="false" ht="15" hidden="false" customHeight="false" outlineLevel="0" collapsed="false">
      <c r="A222" s="2"/>
      <c r="B222" s="2"/>
      <c r="C222" s="2"/>
      <c r="D222" s="2"/>
      <c r="E222" s="2"/>
      <c r="F222" s="2"/>
      <c r="G222" s="2"/>
      <c r="H222" s="2"/>
      <c r="I222" s="2"/>
      <c r="J222" s="2"/>
      <c r="K222" s="2"/>
      <c r="L222" s="2"/>
      <c r="M222" s="2"/>
      <c r="N222" s="2"/>
      <c r="O222" s="2"/>
      <c r="P222" s="2"/>
      <c r="Q222" s="2"/>
      <c r="R222" s="2"/>
    </row>
    <row r="223" customFormat="false" ht="15" hidden="false" customHeight="false" outlineLevel="0" collapsed="false">
      <c r="A223" s="2"/>
      <c r="B223" s="2"/>
      <c r="C223" s="2"/>
      <c r="D223" s="2"/>
      <c r="E223" s="2"/>
      <c r="F223" s="2"/>
      <c r="G223" s="2"/>
      <c r="H223" s="2"/>
      <c r="I223" s="2"/>
      <c r="J223" s="2"/>
      <c r="K223" s="2"/>
      <c r="L223" s="2"/>
      <c r="M223" s="2"/>
      <c r="N223" s="2"/>
      <c r="O223" s="2"/>
      <c r="P223" s="2"/>
      <c r="Q223" s="2"/>
      <c r="R223" s="2"/>
    </row>
    <row r="224" customFormat="false" ht="15" hidden="false" customHeight="false" outlineLevel="0" collapsed="false">
      <c r="A224" s="2"/>
      <c r="B224" s="2"/>
      <c r="C224" s="2"/>
      <c r="D224" s="2"/>
      <c r="E224" s="2"/>
      <c r="F224" s="2"/>
      <c r="G224" s="2"/>
      <c r="H224" s="2"/>
      <c r="I224" s="2"/>
      <c r="J224" s="2"/>
      <c r="K224" s="2"/>
      <c r="L224" s="2"/>
      <c r="M224" s="2"/>
      <c r="N224" s="2"/>
      <c r="O224" s="2"/>
      <c r="P224" s="2"/>
      <c r="Q224" s="2"/>
      <c r="R224" s="2"/>
    </row>
    <row r="225" customFormat="false" ht="15" hidden="false" customHeight="false" outlineLevel="0" collapsed="false">
      <c r="A225" s="2"/>
      <c r="B225" s="2"/>
      <c r="C225" s="2"/>
      <c r="D225" s="2"/>
      <c r="E225" s="2"/>
      <c r="F225" s="2"/>
      <c r="G225" s="2"/>
      <c r="H225" s="2"/>
      <c r="I225" s="2"/>
      <c r="J225" s="2"/>
      <c r="K225" s="2"/>
      <c r="L225" s="2"/>
      <c r="M225" s="2"/>
      <c r="N225" s="2"/>
      <c r="O225" s="2"/>
      <c r="P225" s="2"/>
      <c r="Q225" s="2"/>
      <c r="R225" s="2"/>
    </row>
    <row r="226" customFormat="false" ht="15" hidden="false" customHeight="false" outlineLevel="0" collapsed="false">
      <c r="A226" s="2"/>
      <c r="B226" s="2"/>
      <c r="C226" s="2"/>
      <c r="D226" s="2"/>
      <c r="E226" s="2"/>
      <c r="F226" s="2"/>
      <c r="G226" s="2"/>
      <c r="H226" s="2"/>
      <c r="I226" s="2"/>
      <c r="J226" s="2"/>
      <c r="K226" s="2"/>
      <c r="L226" s="2"/>
      <c r="M226" s="2"/>
      <c r="N226" s="2"/>
      <c r="O226" s="2"/>
      <c r="P226" s="2"/>
      <c r="Q226" s="2"/>
      <c r="R226" s="2"/>
    </row>
    <row r="227" customFormat="false" ht="15" hidden="false" customHeight="false" outlineLevel="0" collapsed="false">
      <c r="A227" s="2"/>
      <c r="B227" s="2"/>
      <c r="C227" s="2"/>
      <c r="D227" s="2"/>
      <c r="E227" s="2"/>
      <c r="F227" s="2"/>
      <c r="G227" s="2"/>
      <c r="H227" s="2"/>
      <c r="I227" s="2"/>
      <c r="J227" s="2"/>
      <c r="K227" s="2"/>
      <c r="L227" s="2"/>
      <c r="M227" s="2"/>
      <c r="N227" s="2"/>
      <c r="O227" s="2"/>
      <c r="P227" s="2"/>
      <c r="Q227" s="2"/>
      <c r="R227" s="2"/>
    </row>
    <row r="228" customFormat="false" ht="15" hidden="false" customHeight="false" outlineLevel="0" collapsed="false">
      <c r="A228" s="2"/>
      <c r="B228" s="2"/>
      <c r="C228" s="2"/>
      <c r="D228" s="2"/>
      <c r="E228" s="2"/>
      <c r="F228" s="2"/>
      <c r="G228" s="2"/>
      <c r="H228" s="2"/>
      <c r="I228" s="2"/>
      <c r="J228" s="2"/>
      <c r="K228" s="2"/>
      <c r="L228" s="2"/>
      <c r="M228" s="2"/>
      <c r="N228" s="2"/>
      <c r="O228" s="2"/>
      <c r="P228" s="2"/>
      <c r="Q228" s="2"/>
      <c r="R228" s="2"/>
    </row>
    <row r="229" customFormat="false" ht="15" hidden="false" customHeight="false" outlineLevel="0" collapsed="false">
      <c r="A229" s="2"/>
      <c r="B229" s="2"/>
      <c r="C229" s="2"/>
      <c r="D229" s="2"/>
      <c r="E229" s="2"/>
      <c r="F229" s="2"/>
      <c r="G229" s="2"/>
      <c r="H229" s="2"/>
      <c r="I229" s="2"/>
      <c r="J229" s="2"/>
      <c r="K229" s="2"/>
      <c r="L229" s="2"/>
      <c r="M229" s="2"/>
      <c r="N229" s="2"/>
      <c r="O229" s="2"/>
      <c r="P229" s="2"/>
      <c r="Q229" s="2"/>
      <c r="R229" s="2"/>
    </row>
    <row r="230" customFormat="false" ht="15" hidden="false" customHeight="false" outlineLevel="0" collapsed="false">
      <c r="A230" s="2"/>
      <c r="B230" s="2"/>
      <c r="C230" s="2"/>
      <c r="D230" s="2"/>
      <c r="E230" s="2"/>
      <c r="F230" s="2"/>
      <c r="G230" s="2"/>
      <c r="H230" s="2"/>
      <c r="I230" s="2"/>
      <c r="J230" s="2"/>
      <c r="K230" s="2"/>
      <c r="L230" s="2"/>
      <c r="M230" s="2"/>
      <c r="N230" s="2"/>
      <c r="O230" s="2"/>
      <c r="P230" s="2"/>
      <c r="Q230" s="2"/>
      <c r="R230" s="2"/>
    </row>
    <row r="231" customFormat="false" ht="15" hidden="false" customHeight="false" outlineLevel="0" collapsed="false">
      <c r="A231" s="2"/>
      <c r="B231" s="2"/>
      <c r="C231" s="2"/>
      <c r="D231" s="2"/>
      <c r="E231" s="2"/>
      <c r="F231" s="2"/>
      <c r="G231" s="2"/>
      <c r="H231" s="2"/>
      <c r="I231" s="2"/>
      <c r="J231" s="2"/>
      <c r="K231" s="2"/>
      <c r="L231" s="2"/>
      <c r="M231" s="2"/>
      <c r="N231" s="2"/>
      <c r="O231" s="2"/>
      <c r="P231" s="2"/>
      <c r="Q231" s="2"/>
      <c r="R231" s="2"/>
    </row>
    <row r="232" customFormat="false" ht="15" hidden="false" customHeight="false" outlineLevel="0" collapsed="false">
      <c r="A232" s="2"/>
      <c r="B232" s="2"/>
      <c r="C232" s="2"/>
      <c r="D232" s="2"/>
      <c r="E232" s="2"/>
      <c r="F232" s="2"/>
      <c r="G232" s="2"/>
      <c r="H232" s="2"/>
      <c r="I232" s="2"/>
      <c r="J232" s="2"/>
      <c r="K232" s="2"/>
      <c r="L232" s="2"/>
      <c r="M232" s="2"/>
      <c r="N232" s="2"/>
      <c r="O232" s="2"/>
      <c r="P232" s="2"/>
      <c r="Q232" s="2"/>
      <c r="R232" s="2"/>
    </row>
    <row r="233" customFormat="false" ht="15" hidden="false" customHeight="false" outlineLevel="0" collapsed="false">
      <c r="A233" s="2"/>
      <c r="B233" s="2"/>
      <c r="C233" s="2"/>
      <c r="D233" s="2"/>
      <c r="E233" s="2"/>
      <c r="F233" s="2"/>
      <c r="G233" s="2"/>
      <c r="H233" s="2"/>
      <c r="I233" s="2"/>
      <c r="J233" s="2"/>
      <c r="K233" s="2"/>
      <c r="L233" s="2"/>
      <c r="M233" s="2"/>
      <c r="N233" s="2"/>
      <c r="O233" s="2"/>
      <c r="P233" s="2"/>
      <c r="Q233" s="2"/>
      <c r="R233" s="2"/>
    </row>
    <row r="234" customFormat="false" ht="15" hidden="false" customHeight="false" outlineLevel="0" collapsed="false">
      <c r="A234" s="2"/>
      <c r="B234" s="2"/>
      <c r="C234" s="2"/>
      <c r="D234" s="2"/>
      <c r="E234" s="2"/>
      <c r="F234" s="2"/>
      <c r="G234" s="2"/>
      <c r="H234" s="2"/>
      <c r="I234" s="2"/>
      <c r="J234" s="2"/>
      <c r="K234" s="2"/>
      <c r="L234" s="2"/>
      <c r="M234" s="2"/>
      <c r="N234" s="2"/>
      <c r="O234" s="2"/>
      <c r="P234" s="2"/>
      <c r="Q234" s="2"/>
      <c r="R234" s="2"/>
    </row>
    <row r="235" customFormat="false" ht="15" hidden="false" customHeight="false" outlineLevel="0" collapsed="false">
      <c r="A235" s="2"/>
      <c r="B235" s="2"/>
      <c r="C235" s="2"/>
      <c r="D235" s="2"/>
      <c r="E235" s="2"/>
      <c r="F235" s="2"/>
      <c r="G235" s="2"/>
      <c r="H235" s="2"/>
      <c r="I235" s="2"/>
      <c r="J235" s="2"/>
      <c r="K235" s="2"/>
      <c r="L235" s="2"/>
      <c r="M235" s="2"/>
      <c r="N235" s="2"/>
      <c r="O235" s="2"/>
      <c r="P235" s="2"/>
      <c r="Q235" s="2"/>
      <c r="R235" s="2"/>
    </row>
    <row r="236" customFormat="false" ht="15" hidden="false" customHeight="false" outlineLevel="0" collapsed="false">
      <c r="A236" s="2"/>
      <c r="B236" s="2"/>
      <c r="C236" s="2"/>
      <c r="D236" s="2"/>
      <c r="E236" s="2"/>
      <c r="F236" s="2"/>
      <c r="G236" s="2"/>
      <c r="H236" s="2"/>
      <c r="I236" s="2"/>
      <c r="J236" s="2"/>
      <c r="K236" s="2"/>
      <c r="L236" s="2"/>
      <c r="M236" s="2"/>
      <c r="N236" s="2"/>
      <c r="O236" s="2"/>
      <c r="P236" s="2"/>
      <c r="Q236" s="2"/>
      <c r="R236" s="2"/>
    </row>
    <row r="237" customFormat="false" ht="15" hidden="false" customHeight="false" outlineLevel="0" collapsed="false">
      <c r="A237" s="2"/>
      <c r="B237" s="2"/>
      <c r="C237" s="2"/>
      <c r="D237" s="2"/>
      <c r="E237" s="2"/>
      <c r="F237" s="2"/>
      <c r="G237" s="2"/>
      <c r="H237" s="2"/>
      <c r="I237" s="2"/>
      <c r="J237" s="2"/>
      <c r="K237" s="2"/>
      <c r="L237" s="2"/>
      <c r="M237" s="2"/>
      <c r="N237" s="2"/>
      <c r="O237" s="2"/>
      <c r="P237" s="2"/>
      <c r="Q237" s="2"/>
      <c r="R237" s="2"/>
    </row>
    <row r="238" customFormat="false" ht="15" hidden="false" customHeight="false" outlineLevel="0" collapsed="false">
      <c r="A238" s="2"/>
      <c r="B238" s="2"/>
      <c r="C238" s="2"/>
      <c r="D238" s="2"/>
      <c r="E238" s="2"/>
      <c r="F238" s="2"/>
      <c r="G238" s="2"/>
      <c r="H238" s="2"/>
      <c r="I238" s="2"/>
      <c r="J238" s="2"/>
      <c r="K238" s="2"/>
      <c r="L238" s="2"/>
      <c r="M238" s="2"/>
      <c r="N238" s="2"/>
      <c r="O238" s="2"/>
      <c r="P238" s="2"/>
      <c r="Q238" s="2"/>
      <c r="R238" s="2"/>
    </row>
    <row r="239" customFormat="false" ht="15" hidden="false" customHeight="false" outlineLevel="0" collapsed="false">
      <c r="A239" s="2"/>
      <c r="B239" s="2"/>
      <c r="C239" s="2"/>
      <c r="D239" s="2"/>
      <c r="E239" s="2"/>
      <c r="F239" s="2"/>
      <c r="G239" s="2"/>
      <c r="H239" s="2"/>
      <c r="I239" s="2"/>
      <c r="J239" s="2"/>
      <c r="K239" s="2"/>
      <c r="L239" s="2"/>
      <c r="M239" s="2"/>
      <c r="N239" s="2"/>
      <c r="O239" s="2"/>
      <c r="P239" s="2"/>
      <c r="Q239" s="2"/>
      <c r="R239" s="2"/>
    </row>
    <row r="240" customFormat="false" ht="15" hidden="false" customHeight="false" outlineLevel="0" collapsed="false">
      <c r="A240" s="2"/>
      <c r="B240" s="2"/>
      <c r="C240" s="2"/>
      <c r="D240" s="2"/>
      <c r="E240" s="2"/>
      <c r="F240" s="2"/>
      <c r="G240" s="2"/>
      <c r="H240" s="2"/>
      <c r="I240" s="2"/>
      <c r="J240" s="2"/>
      <c r="K240" s="2"/>
      <c r="L240" s="2"/>
      <c r="M240" s="2"/>
      <c r="N240" s="2"/>
      <c r="O240" s="2"/>
      <c r="P240" s="2"/>
      <c r="Q240" s="2"/>
      <c r="R240" s="2"/>
    </row>
    <row r="241" customFormat="false" ht="15" hidden="false" customHeight="false" outlineLevel="0" collapsed="false">
      <c r="A241" s="2"/>
      <c r="B241" s="2"/>
      <c r="C241" s="2"/>
      <c r="D241" s="2"/>
      <c r="E241" s="2"/>
      <c r="F241" s="2"/>
      <c r="G241" s="2"/>
      <c r="H241" s="2"/>
      <c r="I241" s="2"/>
      <c r="J241" s="2"/>
      <c r="K241" s="2"/>
      <c r="L241" s="2"/>
      <c r="M241" s="2"/>
      <c r="N241" s="2"/>
      <c r="O241" s="2"/>
      <c r="P241" s="2"/>
      <c r="Q241" s="2"/>
      <c r="R241" s="2"/>
    </row>
    <row r="242" customFormat="false" ht="15" hidden="false" customHeight="false" outlineLevel="0" collapsed="false">
      <c r="A242" s="2"/>
      <c r="B242" s="2"/>
      <c r="C242" s="2"/>
      <c r="D242" s="2"/>
      <c r="E242" s="2"/>
      <c r="F242" s="2"/>
      <c r="G242" s="2"/>
      <c r="H242" s="2"/>
      <c r="I242" s="2"/>
      <c r="J242" s="2"/>
      <c r="K242" s="2"/>
      <c r="L242" s="2"/>
      <c r="M242" s="2"/>
      <c r="N242" s="2"/>
      <c r="O242" s="2"/>
      <c r="P242" s="2"/>
      <c r="Q242" s="2"/>
      <c r="R242" s="2"/>
    </row>
    <row r="243" customFormat="false" ht="15" hidden="false" customHeight="false" outlineLevel="0" collapsed="false">
      <c r="A243" s="2"/>
      <c r="B243" s="2"/>
      <c r="C243" s="2"/>
      <c r="D243" s="2"/>
      <c r="E243" s="2"/>
      <c r="F243" s="2"/>
      <c r="G243" s="2"/>
      <c r="H243" s="2"/>
      <c r="I243" s="2"/>
      <c r="J243" s="2"/>
      <c r="K243" s="2"/>
      <c r="L243" s="2"/>
      <c r="M243" s="2"/>
      <c r="N243" s="2"/>
      <c r="O243" s="2"/>
      <c r="P243" s="2"/>
      <c r="Q243" s="2"/>
      <c r="R243" s="2"/>
    </row>
    <row r="244" customFormat="false" ht="15" hidden="false" customHeight="false" outlineLevel="0" collapsed="false">
      <c r="A244" s="2"/>
      <c r="B244" s="2"/>
      <c r="C244" s="2"/>
      <c r="D244" s="2"/>
      <c r="E244" s="2"/>
      <c r="F244" s="2"/>
      <c r="G244" s="2"/>
      <c r="H244" s="2"/>
      <c r="I244" s="2"/>
      <c r="J244" s="2"/>
      <c r="K244" s="2"/>
      <c r="L244" s="2"/>
      <c r="M244" s="2"/>
      <c r="N244" s="2"/>
      <c r="O244" s="2"/>
      <c r="P244" s="2"/>
      <c r="Q244" s="2"/>
      <c r="R244" s="2"/>
    </row>
    <row r="245" customFormat="false" ht="15" hidden="false" customHeight="false" outlineLevel="0" collapsed="false">
      <c r="A245" s="2"/>
      <c r="B245" s="2"/>
      <c r="C245" s="2"/>
      <c r="D245" s="2"/>
      <c r="E245" s="2"/>
      <c r="F245" s="2"/>
      <c r="G245" s="2"/>
      <c r="H245" s="2"/>
      <c r="I245" s="2"/>
      <c r="J245" s="2"/>
      <c r="K245" s="2"/>
      <c r="L245" s="2"/>
      <c r="M245" s="2"/>
      <c r="N245" s="2"/>
      <c r="O245" s="2"/>
      <c r="P245" s="2"/>
      <c r="Q245" s="2"/>
      <c r="R245" s="2"/>
    </row>
    <row r="246" customFormat="false" ht="15" hidden="false" customHeight="false" outlineLevel="0" collapsed="false">
      <c r="A246" s="2"/>
      <c r="B246" s="2"/>
      <c r="C246" s="2"/>
      <c r="D246" s="2"/>
      <c r="E246" s="2"/>
      <c r="F246" s="2"/>
      <c r="G246" s="2"/>
      <c r="H246" s="2"/>
      <c r="I246" s="2"/>
      <c r="J246" s="2"/>
      <c r="K246" s="2"/>
      <c r="L246" s="2"/>
      <c r="M246" s="2"/>
      <c r="N246" s="2"/>
      <c r="O246" s="2"/>
      <c r="P246" s="2"/>
      <c r="Q246" s="2"/>
      <c r="R246" s="2"/>
    </row>
    <row r="247" customFormat="false" ht="15" hidden="false" customHeight="false" outlineLevel="0" collapsed="false">
      <c r="A247" s="2"/>
      <c r="B247" s="2"/>
      <c r="C247" s="2"/>
      <c r="D247" s="2"/>
      <c r="E247" s="2"/>
      <c r="F247" s="2"/>
      <c r="G247" s="2"/>
      <c r="H247" s="2"/>
      <c r="I247" s="2"/>
      <c r="J247" s="2"/>
      <c r="K247" s="2"/>
      <c r="L247" s="2"/>
      <c r="M247" s="2"/>
      <c r="N247" s="2"/>
      <c r="O247" s="2"/>
      <c r="P247" s="2"/>
      <c r="Q247" s="2"/>
      <c r="R247" s="2"/>
    </row>
    <row r="248" customFormat="false" ht="15" hidden="false" customHeight="false" outlineLevel="0" collapsed="false">
      <c r="A248" s="2"/>
      <c r="B248" s="2"/>
      <c r="C248" s="2"/>
      <c r="D248" s="2"/>
      <c r="E248" s="2"/>
      <c r="F248" s="2"/>
      <c r="G248" s="2"/>
      <c r="H248" s="2"/>
      <c r="I248" s="2"/>
      <c r="J248" s="2"/>
      <c r="K248" s="2"/>
      <c r="L248" s="2"/>
      <c r="M248" s="2"/>
      <c r="N248" s="2"/>
      <c r="O248" s="2"/>
      <c r="P248" s="2"/>
      <c r="Q248" s="2"/>
      <c r="R248" s="2"/>
    </row>
    <row r="249" customFormat="false" ht="15" hidden="false" customHeight="false" outlineLevel="0" collapsed="false">
      <c r="A249" s="2"/>
      <c r="B249" s="2"/>
      <c r="C249" s="2"/>
      <c r="D249" s="2"/>
      <c r="E249" s="2"/>
      <c r="F249" s="2"/>
      <c r="G249" s="2"/>
      <c r="H249" s="2"/>
      <c r="I249" s="2"/>
      <c r="J249" s="2"/>
      <c r="K249" s="2"/>
      <c r="L249" s="2"/>
      <c r="M249" s="2"/>
      <c r="N249" s="2"/>
      <c r="O249" s="2"/>
      <c r="P249" s="2"/>
      <c r="Q249" s="2"/>
      <c r="R249" s="2"/>
    </row>
    <row r="250" customFormat="false" ht="15" hidden="false" customHeight="false" outlineLevel="0" collapsed="false">
      <c r="A250" s="2"/>
      <c r="B250" s="2"/>
      <c r="C250" s="2"/>
      <c r="D250" s="2"/>
      <c r="E250" s="2"/>
      <c r="F250" s="2"/>
      <c r="G250" s="2"/>
      <c r="H250" s="2"/>
      <c r="I250" s="2"/>
      <c r="J250" s="2"/>
      <c r="K250" s="2"/>
      <c r="L250" s="2"/>
      <c r="M250" s="2"/>
      <c r="N250" s="2"/>
      <c r="O250" s="2"/>
      <c r="P250" s="2"/>
      <c r="Q250" s="2"/>
      <c r="R250" s="2"/>
    </row>
    <row r="251" customFormat="false" ht="15" hidden="false" customHeight="false" outlineLevel="0" collapsed="false">
      <c r="A251" s="2"/>
      <c r="B251" s="2"/>
      <c r="C251" s="2"/>
      <c r="D251" s="2"/>
      <c r="E251" s="2"/>
      <c r="F251" s="2"/>
      <c r="G251" s="2"/>
      <c r="H251" s="2"/>
      <c r="I251" s="2"/>
      <c r="J251" s="2"/>
      <c r="K251" s="2"/>
      <c r="L251" s="2"/>
      <c r="M251" s="2"/>
      <c r="N251" s="2"/>
      <c r="O251" s="2"/>
      <c r="P251" s="2"/>
      <c r="Q251" s="2"/>
      <c r="R251" s="2"/>
    </row>
    <row r="252" customFormat="false" ht="15" hidden="false" customHeight="false" outlineLevel="0" collapsed="false">
      <c r="A252" s="2"/>
      <c r="B252" s="2"/>
      <c r="C252" s="2"/>
      <c r="D252" s="2"/>
      <c r="E252" s="2"/>
      <c r="F252" s="2"/>
      <c r="G252" s="2"/>
      <c r="H252" s="2"/>
      <c r="I252" s="2"/>
      <c r="J252" s="2"/>
      <c r="K252" s="2"/>
      <c r="L252" s="2"/>
      <c r="M252" s="2"/>
      <c r="N252" s="2"/>
      <c r="O252" s="2"/>
      <c r="P252" s="2"/>
      <c r="Q252" s="2"/>
      <c r="R252" s="2"/>
    </row>
    <row r="253" customFormat="false" ht="15" hidden="false" customHeight="false" outlineLevel="0" collapsed="false">
      <c r="A253" s="2"/>
      <c r="B253" s="2"/>
      <c r="C253" s="2"/>
      <c r="D253" s="2"/>
      <c r="E253" s="2"/>
      <c r="F253" s="2"/>
      <c r="G253" s="2"/>
      <c r="H253" s="2"/>
      <c r="I253" s="2"/>
      <c r="J253" s="2"/>
      <c r="K253" s="2"/>
      <c r="L253" s="2"/>
      <c r="M253" s="2"/>
      <c r="N253" s="2"/>
      <c r="O253" s="2"/>
      <c r="P253" s="2"/>
      <c r="Q253" s="2"/>
      <c r="R253" s="2"/>
    </row>
    <row r="254" customFormat="false" ht="15" hidden="false" customHeight="false" outlineLevel="0" collapsed="false">
      <c r="A254" s="2"/>
      <c r="B254" s="2"/>
      <c r="C254" s="2"/>
      <c r="D254" s="2"/>
      <c r="E254" s="2"/>
      <c r="F254" s="2"/>
      <c r="G254" s="2"/>
      <c r="H254" s="2"/>
      <c r="I254" s="2"/>
      <c r="J254" s="2"/>
      <c r="K254" s="2"/>
      <c r="L254" s="2"/>
      <c r="M254" s="2"/>
      <c r="N254" s="2"/>
      <c r="O254" s="2"/>
      <c r="P254" s="2"/>
      <c r="Q254" s="2"/>
      <c r="R254" s="2"/>
    </row>
    <row r="255" customFormat="false" ht="15" hidden="false" customHeight="false" outlineLevel="0" collapsed="false">
      <c r="A255" s="2"/>
      <c r="B255" s="2"/>
      <c r="C255" s="2"/>
      <c r="D255" s="2"/>
      <c r="E255" s="2"/>
      <c r="F255" s="2"/>
      <c r="G255" s="2"/>
      <c r="H255" s="2"/>
      <c r="I255" s="2"/>
      <c r="J255" s="2"/>
      <c r="K255" s="2"/>
      <c r="L255" s="2"/>
      <c r="M255" s="2"/>
      <c r="N255" s="2"/>
      <c r="O255" s="2"/>
      <c r="P255" s="2"/>
      <c r="Q255" s="2"/>
      <c r="R255" s="2"/>
    </row>
    <row r="256" customFormat="false" ht="15" hidden="false" customHeight="false" outlineLevel="0" collapsed="false">
      <c r="A256" s="2"/>
      <c r="B256" s="2"/>
      <c r="C256" s="2"/>
      <c r="D256" s="2"/>
      <c r="E256" s="2"/>
      <c r="F256" s="2"/>
      <c r="G256" s="2"/>
      <c r="H256" s="2"/>
      <c r="I256" s="2"/>
      <c r="J256" s="2"/>
      <c r="K256" s="2"/>
      <c r="L256" s="2"/>
      <c r="M256" s="2"/>
      <c r="N256" s="2"/>
      <c r="O256" s="2"/>
      <c r="P256" s="2"/>
      <c r="Q256" s="2"/>
      <c r="R256" s="2"/>
    </row>
    <row r="257" customFormat="false" ht="15" hidden="false" customHeight="false" outlineLevel="0" collapsed="false">
      <c r="A257" s="2"/>
      <c r="B257" s="2"/>
      <c r="C257" s="2"/>
      <c r="D257" s="2"/>
      <c r="E257" s="2"/>
      <c r="F257" s="2"/>
      <c r="G257" s="2"/>
      <c r="H257" s="2"/>
      <c r="I257" s="2"/>
      <c r="J257" s="2"/>
      <c r="K257" s="2"/>
      <c r="L257" s="2"/>
      <c r="M257" s="2"/>
      <c r="N257" s="2"/>
      <c r="O257" s="2"/>
      <c r="P257" s="2"/>
      <c r="Q257" s="2"/>
      <c r="R257" s="2"/>
    </row>
    <row r="258" customFormat="false" ht="15" hidden="false" customHeight="false" outlineLevel="0" collapsed="false">
      <c r="A258" s="2"/>
      <c r="B258" s="2"/>
      <c r="C258" s="2"/>
      <c r="D258" s="2"/>
      <c r="E258" s="2"/>
      <c r="F258" s="2"/>
      <c r="G258" s="2"/>
      <c r="H258" s="2"/>
      <c r="I258" s="2"/>
      <c r="J258" s="2"/>
      <c r="K258" s="2"/>
      <c r="L258" s="2"/>
      <c r="M258" s="2"/>
      <c r="N258" s="2"/>
      <c r="O258" s="2"/>
      <c r="P258" s="2"/>
      <c r="Q258" s="2"/>
      <c r="R258" s="2"/>
    </row>
    <row r="259" customFormat="false" ht="15" hidden="false" customHeight="false" outlineLevel="0" collapsed="false">
      <c r="A259" s="2"/>
      <c r="B259" s="2"/>
      <c r="C259" s="2"/>
      <c r="D259" s="2"/>
      <c r="E259" s="2"/>
      <c r="F259" s="2"/>
      <c r="G259" s="2"/>
      <c r="H259" s="2"/>
      <c r="I259" s="2"/>
      <c r="J259" s="2"/>
      <c r="K259" s="2"/>
      <c r="L259" s="2"/>
      <c r="M259" s="2"/>
      <c r="N259" s="2"/>
      <c r="O259" s="2"/>
      <c r="P259" s="2"/>
      <c r="Q259" s="2"/>
      <c r="R259" s="2"/>
    </row>
    <row r="260" customFormat="false" ht="15" hidden="false" customHeight="false" outlineLevel="0" collapsed="false">
      <c r="A260" s="2"/>
      <c r="B260" s="2"/>
      <c r="C260" s="2"/>
      <c r="D260" s="2"/>
      <c r="E260" s="2"/>
      <c r="F260" s="2"/>
      <c r="G260" s="2"/>
      <c r="H260" s="2"/>
      <c r="I260" s="2"/>
      <c r="J260" s="2"/>
      <c r="K260" s="2"/>
      <c r="L260" s="2"/>
      <c r="M260" s="2"/>
      <c r="N260" s="2"/>
      <c r="O260" s="2"/>
      <c r="P260" s="2"/>
      <c r="Q260" s="2"/>
      <c r="R260" s="2"/>
    </row>
    <row r="261" customFormat="false" ht="15" hidden="false" customHeight="false" outlineLevel="0" collapsed="false">
      <c r="A261" s="2"/>
      <c r="B261" s="2"/>
      <c r="C261" s="2"/>
      <c r="D261" s="2"/>
      <c r="E261" s="2"/>
      <c r="F261" s="2"/>
      <c r="G261" s="2"/>
      <c r="H261" s="2"/>
      <c r="I261" s="2"/>
      <c r="J261" s="2"/>
      <c r="K261" s="2"/>
      <c r="L261" s="2"/>
      <c r="M261" s="2"/>
      <c r="N261" s="2"/>
      <c r="O261" s="2"/>
      <c r="P261" s="2"/>
      <c r="Q261" s="2"/>
      <c r="R261" s="2"/>
    </row>
    <row r="262" customFormat="false" ht="15" hidden="false" customHeight="false" outlineLevel="0" collapsed="false">
      <c r="A262" s="2"/>
      <c r="B262" s="2"/>
      <c r="C262" s="2"/>
      <c r="D262" s="2"/>
      <c r="E262" s="2"/>
      <c r="F262" s="2"/>
      <c r="G262" s="2"/>
      <c r="H262" s="2"/>
      <c r="I262" s="2"/>
      <c r="J262" s="2"/>
      <c r="K262" s="2"/>
      <c r="L262" s="2"/>
      <c r="M262" s="2"/>
      <c r="N262" s="2"/>
      <c r="O262" s="2"/>
      <c r="P262" s="2"/>
      <c r="Q262" s="2"/>
      <c r="R262" s="2"/>
    </row>
    <row r="263" customFormat="false" ht="15" hidden="false" customHeight="false" outlineLevel="0" collapsed="false">
      <c r="A263" s="2"/>
      <c r="B263" s="2"/>
      <c r="C263" s="2"/>
      <c r="D263" s="2"/>
      <c r="E263" s="2"/>
      <c r="F263" s="2"/>
      <c r="G263" s="2"/>
      <c r="H263" s="2"/>
      <c r="I263" s="2"/>
      <c r="J263" s="2"/>
      <c r="K263" s="2"/>
      <c r="L263" s="2"/>
      <c r="M263" s="2"/>
      <c r="N263" s="2"/>
      <c r="O263" s="2"/>
      <c r="P263" s="2"/>
      <c r="Q263" s="2"/>
      <c r="R263" s="2"/>
    </row>
    <row r="264" customFormat="false" ht="15" hidden="false" customHeight="false" outlineLevel="0" collapsed="false">
      <c r="A264" s="2"/>
      <c r="B264" s="2"/>
      <c r="C264" s="2"/>
      <c r="D264" s="2"/>
      <c r="E264" s="2"/>
      <c r="F264" s="2"/>
      <c r="G264" s="2"/>
      <c r="H264" s="2"/>
      <c r="I264" s="2"/>
      <c r="J264" s="2"/>
      <c r="K264" s="2"/>
      <c r="L264" s="2"/>
      <c r="M264" s="2"/>
      <c r="N264" s="2"/>
      <c r="O264" s="2"/>
      <c r="P264" s="2"/>
      <c r="Q264" s="2"/>
      <c r="R264" s="2"/>
    </row>
    <row r="265" customFormat="false" ht="15" hidden="false" customHeight="false" outlineLevel="0" collapsed="false">
      <c r="A265" s="2"/>
      <c r="B265" s="2"/>
      <c r="C265" s="2"/>
      <c r="D265" s="2"/>
      <c r="E265" s="2"/>
      <c r="F265" s="2"/>
      <c r="G265" s="2"/>
      <c r="H265" s="2"/>
      <c r="I265" s="2"/>
      <c r="J265" s="2"/>
      <c r="K265" s="2"/>
      <c r="L265" s="2"/>
      <c r="M265" s="2"/>
      <c r="N265" s="2"/>
      <c r="O265" s="2"/>
      <c r="P265" s="2"/>
      <c r="Q265" s="2"/>
      <c r="R265" s="2"/>
    </row>
    <row r="266" customFormat="false" ht="15" hidden="false" customHeight="false" outlineLevel="0" collapsed="false">
      <c r="A266" s="2"/>
      <c r="B266" s="2"/>
      <c r="C266" s="2"/>
      <c r="D266" s="2"/>
      <c r="E266" s="2"/>
      <c r="F266" s="2"/>
      <c r="G266" s="2"/>
      <c r="H266" s="2"/>
      <c r="I266" s="2"/>
      <c r="J266" s="2"/>
      <c r="K266" s="2"/>
      <c r="L266" s="2"/>
      <c r="M266" s="2"/>
      <c r="N266" s="2"/>
      <c r="O266" s="2"/>
      <c r="P266" s="2"/>
      <c r="Q266" s="2"/>
      <c r="R266" s="2"/>
    </row>
    <row r="267" customFormat="false" ht="15" hidden="false" customHeight="false" outlineLevel="0" collapsed="false">
      <c r="A267" s="2"/>
      <c r="B267" s="2"/>
      <c r="C267" s="2"/>
      <c r="D267" s="2"/>
      <c r="E267" s="2"/>
      <c r="F267" s="2"/>
      <c r="G267" s="2"/>
      <c r="H267" s="2"/>
      <c r="I267" s="2"/>
      <c r="J267" s="2"/>
      <c r="K267" s="2"/>
      <c r="L267" s="2"/>
      <c r="M267" s="2"/>
      <c r="N267" s="2"/>
      <c r="O267" s="2"/>
      <c r="P267" s="2"/>
      <c r="Q267" s="2"/>
      <c r="R267" s="2"/>
    </row>
    <row r="268" customFormat="false" ht="15" hidden="false" customHeight="false" outlineLevel="0" collapsed="false">
      <c r="A268" s="2"/>
      <c r="B268" s="2"/>
      <c r="C268" s="2"/>
      <c r="D268" s="2"/>
      <c r="E268" s="2"/>
      <c r="F268" s="2"/>
      <c r="G268" s="2"/>
      <c r="H268" s="2"/>
      <c r="I268" s="2"/>
      <c r="J268" s="2"/>
      <c r="K268" s="2"/>
      <c r="L268" s="2"/>
      <c r="M268" s="2"/>
      <c r="N268" s="2"/>
      <c r="O268" s="2"/>
      <c r="P268" s="2"/>
      <c r="Q268" s="2"/>
      <c r="R268" s="2"/>
    </row>
    <row r="269" customFormat="false" ht="15" hidden="false" customHeight="false" outlineLevel="0" collapsed="false">
      <c r="A269" s="2"/>
      <c r="B269" s="2"/>
      <c r="C269" s="2"/>
      <c r="D269" s="2"/>
      <c r="E269" s="2"/>
      <c r="F269" s="2"/>
      <c r="G269" s="2"/>
      <c r="H269" s="2"/>
      <c r="I269" s="2"/>
      <c r="J269" s="2"/>
      <c r="K269" s="2"/>
      <c r="L269" s="2"/>
      <c r="M269" s="2"/>
      <c r="N269" s="2"/>
      <c r="O269" s="2"/>
      <c r="P269" s="2"/>
      <c r="Q269" s="2"/>
      <c r="R269" s="2"/>
    </row>
    <row r="270" customFormat="false" ht="15" hidden="false" customHeight="false" outlineLevel="0" collapsed="false">
      <c r="A270" s="2"/>
      <c r="B270" s="2"/>
      <c r="C270" s="2"/>
      <c r="D270" s="2"/>
      <c r="E270" s="2"/>
      <c r="F270" s="2"/>
      <c r="G270" s="2"/>
      <c r="H270" s="2"/>
      <c r="I270" s="2"/>
      <c r="J270" s="2"/>
      <c r="K270" s="2"/>
    </row>
    <row r="271" customFormat="false" ht="15" hidden="false" customHeight="false" outlineLevel="0" collapsed="false">
      <c r="A271" s="2"/>
      <c r="B271" s="2"/>
      <c r="C271" s="2"/>
      <c r="D271" s="2"/>
      <c r="E271" s="2"/>
      <c r="F271" s="2"/>
      <c r="G271" s="2"/>
      <c r="H271" s="2"/>
      <c r="I271" s="2"/>
      <c r="J271" s="2"/>
      <c r="K271" s="2"/>
    </row>
    <row r="272" customFormat="false" ht="15" hidden="false" customHeight="false" outlineLevel="0" collapsed="false">
      <c r="A272" s="2"/>
      <c r="B272" s="2"/>
      <c r="C272" s="2"/>
      <c r="D272" s="2"/>
      <c r="E272" s="2"/>
      <c r="F272" s="2"/>
      <c r="G272" s="2"/>
      <c r="H272" s="2"/>
      <c r="I272" s="2"/>
      <c r="J272" s="2"/>
      <c r="K272" s="2"/>
    </row>
    <row r="273" customFormat="false" ht="15" hidden="false" customHeight="false" outlineLevel="0" collapsed="false">
      <c r="A273" s="2"/>
      <c r="B273" s="2"/>
      <c r="C273" s="2"/>
      <c r="D273" s="2"/>
      <c r="E273" s="2"/>
      <c r="F273" s="2"/>
      <c r="G273" s="2"/>
      <c r="H273" s="2"/>
      <c r="I273" s="2"/>
      <c r="J273" s="2"/>
      <c r="K273" s="2"/>
    </row>
    <row r="274" customFormat="false" ht="15" hidden="false" customHeight="false" outlineLevel="0" collapsed="false">
      <c r="A274" s="2"/>
      <c r="B274" s="2"/>
      <c r="C274" s="2"/>
      <c r="D274" s="2"/>
      <c r="E274" s="2"/>
      <c r="F274" s="2"/>
      <c r="G274" s="2"/>
      <c r="H274" s="2"/>
      <c r="I274" s="2"/>
      <c r="J274" s="2"/>
      <c r="K274" s="2"/>
    </row>
    <row r="275" customFormat="false" ht="15" hidden="false" customHeight="false" outlineLevel="0" collapsed="false">
      <c r="A275" s="2"/>
      <c r="B275" s="2"/>
      <c r="C275" s="2"/>
      <c r="D275" s="2"/>
      <c r="E275" s="2"/>
      <c r="F275" s="2"/>
      <c r="G275" s="2"/>
      <c r="H275" s="2"/>
      <c r="I275" s="2"/>
      <c r="J275" s="2"/>
      <c r="K275" s="2"/>
    </row>
    <row r="276" customFormat="false" ht="15" hidden="false" customHeight="false" outlineLevel="0" collapsed="false">
      <c r="A276" s="2"/>
      <c r="B276" s="2"/>
      <c r="C276" s="2"/>
      <c r="D276" s="2"/>
      <c r="E276" s="2"/>
      <c r="F276" s="2"/>
      <c r="G276" s="2"/>
      <c r="H276" s="2"/>
      <c r="I276" s="2"/>
      <c r="J276" s="2"/>
      <c r="K276" s="2"/>
    </row>
    <row r="277" customFormat="false" ht="15" hidden="false" customHeight="false" outlineLevel="0" collapsed="false">
      <c r="A277" s="2"/>
      <c r="B277" s="2"/>
      <c r="C277" s="2"/>
      <c r="D277" s="2"/>
      <c r="E277" s="2"/>
      <c r="F277" s="2"/>
      <c r="G277" s="2"/>
      <c r="H277" s="2"/>
      <c r="I277" s="2"/>
      <c r="J277" s="2"/>
      <c r="K277" s="2"/>
    </row>
    <row r="278" customFormat="false" ht="15" hidden="false" customHeight="false" outlineLevel="0" collapsed="false">
      <c r="A278" s="2"/>
      <c r="B278" s="2"/>
      <c r="C278" s="2"/>
      <c r="D278" s="2"/>
      <c r="E278" s="2"/>
      <c r="F278" s="2"/>
      <c r="G278" s="2"/>
      <c r="H278" s="2"/>
      <c r="I278" s="2"/>
      <c r="J278" s="2"/>
      <c r="K278" s="2"/>
    </row>
    <row r="279" customFormat="false" ht="15" hidden="false" customHeight="false" outlineLevel="0" collapsed="false">
      <c r="A279" s="2"/>
      <c r="B279" s="2"/>
      <c r="C279" s="2"/>
      <c r="D279" s="2"/>
      <c r="E279" s="2"/>
      <c r="F279" s="2"/>
      <c r="G279" s="2"/>
      <c r="H279" s="2"/>
      <c r="I279" s="2"/>
      <c r="J279" s="2"/>
      <c r="K279" s="2"/>
    </row>
    <row r="280" customFormat="false" ht="15" hidden="false" customHeight="false" outlineLevel="0" collapsed="false">
      <c r="A280" s="2"/>
      <c r="B280" s="2"/>
      <c r="C280" s="2"/>
      <c r="D280" s="2"/>
      <c r="E280" s="2"/>
      <c r="F280" s="2"/>
      <c r="G280" s="2"/>
      <c r="H280" s="2"/>
      <c r="I280" s="2"/>
      <c r="J280" s="2"/>
      <c r="K280" s="2"/>
    </row>
    <row r="281" customFormat="false" ht="15" hidden="false" customHeight="false" outlineLevel="0" collapsed="false">
      <c r="A281" s="2"/>
      <c r="B281" s="2"/>
      <c r="C281" s="2"/>
      <c r="D281" s="2"/>
      <c r="E281" s="2"/>
      <c r="F281" s="2"/>
      <c r="G281" s="2"/>
      <c r="H281" s="2"/>
      <c r="I281" s="2"/>
      <c r="J281" s="2"/>
      <c r="K281" s="2"/>
    </row>
    <row r="282" customFormat="false" ht="15" hidden="false" customHeight="false" outlineLevel="0" collapsed="false">
      <c r="A282" s="2"/>
      <c r="B282" s="2"/>
      <c r="C282" s="2"/>
      <c r="D282" s="2"/>
      <c r="E282" s="2"/>
      <c r="F282" s="2"/>
      <c r="G282" s="2"/>
      <c r="H282" s="2"/>
      <c r="I282" s="2"/>
      <c r="J282" s="2"/>
      <c r="K282" s="2"/>
    </row>
    <row r="283" customFormat="false" ht="15" hidden="false" customHeight="false" outlineLevel="0" collapsed="false">
      <c r="A283" s="2"/>
      <c r="B283" s="2"/>
      <c r="C283" s="2"/>
      <c r="D283" s="2"/>
      <c r="E283" s="2"/>
      <c r="F283" s="2"/>
      <c r="G283" s="2"/>
      <c r="H283" s="2"/>
      <c r="I283" s="2"/>
      <c r="J283" s="2"/>
      <c r="K283" s="2"/>
    </row>
    <row r="284" customFormat="false" ht="15" hidden="false" customHeight="false" outlineLevel="0" collapsed="false">
      <c r="A284" s="2"/>
      <c r="B284" s="2"/>
      <c r="C284" s="2"/>
      <c r="D284" s="2"/>
      <c r="E284" s="2"/>
      <c r="F284" s="2"/>
      <c r="G284" s="2"/>
      <c r="H284" s="2"/>
      <c r="I284" s="2"/>
      <c r="J284" s="2"/>
      <c r="K284" s="2"/>
    </row>
    <row r="285" customFormat="false" ht="15" hidden="false" customHeight="false" outlineLevel="0" collapsed="false">
      <c r="A285" s="2"/>
      <c r="B285" s="2"/>
      <c r="C285" s="2"/>
      <c r="D285" s="2"/>
      <c r="E285" s="2"/>
      <c r="F285" s="2"/>
      <c r="G285" s="2"/>
      <c r="H285" s="2"/>
      <c r="I285" s="2"/>
      <c r="J285" s="2"/>
      <c r="K285" s="2"/>
    </row>
    <row r="286" customFormat="false" ht="15" hidden="false" customHeight="false" outlineLevel="0" collapsed="false">
      <c r="A286" s="2"/>
      <c r="B286" s="2"/>
      <c r="C286" s="2"/>
      <c r="D286" s="2"/>
      <c r="E286" s="2"/>
      <c r="F286" s="2"/>
      <c r="G286" s="2"/>
      <c r="H286" s="2"/>
      <c r="I286" s="2"/>
      <c r="J286" s="2"/>
      <c r="K286" s="2"/>
    </row>
    <row r="287" customFormat="false" ht="15" hidden="false" customHeight="false" outlineLevel="0" collapsed="false">
      <c r="A287" s="2"/>
      <c r="B287" s="2"/>
      <c r="C287" s="2"/>
      <c r="D287" s="2"/>
      <c r="E287" s="2"/>
      <c r="F287" s="2"/>
      <c r="G287" s="2"/>
      <c r="H287" s="2"/>
      <c r="I287" s="2"/>
      <c r="J287" s="2"/>
      <c r="K287" s="2"/>
    </row>
    <row r="288" customFormat="false" ht="15" hidden="false" customHeight="false" outlineLevel="0" collapsed="false">
      <c r="A288" s="2"/>
      <c r="B288" s="2"/>
      <c r="C288" s="2"/>
      <c r="D288" s="2"/>
      <c r="E288" s="2"/>
      <c r="F288" s="2"/>
      <c r="G288" s="2"/>
      <c r="H288" s="2"/>
      <c r="I288" s="2"/>
      <c r="J288" s="2"/>
      <c r="K288" s="2"/>
    </row>
    <row r="289" customFormat="false" ht="15" hidden="false" customHeight="false" outlineLevel="0" collapsed="false">
      <c r="A289" s="2"/>
      <c r="B289" s="2"/>
      <c r="C289" s="2"/>
      <c r="D289" s="2"/>
      <c r="E289" s="2"/>
      <c r="F289" s="2"/>
      <c r="G289" s="2"/>
      <c r="H289" s="2"/>
      <c r="I289" s="2"/>
      <c r="J289" s="2"/>
      <c r="K289" s="2"/>
    </row>
    <row r="290" customFormat="false" ht="15" hidden="false" customHeight="false" outlineLevel="0" collapsed="false">
      <c r="A290" s="2"/>
      <c r="B290" s="2"/>
      <c r="C290" s="2"/>
      <c r="D290" s="2"/>
      <c r="E290" s="2"/>
      <c r="F290" s="2"/>
      <c r="G290" s="2"/>
      <c r="H290" s="2"/>
      <c r="I290" s="2"/>
      <c r="J290" s="2"/>
      <c r="K290" s="2"/>
    </row>
    <row r="291" customFormat="false" ht="15" hidden="false" customHeight="false" outlineLevel="0" collapsed="false">
      <c r="A291" s="2"/>
      <c r="B291" s="2"/>
      <c r="C291" s="2"/>
      <c r="D291" s="2"/>
      <c r="E291" s="2"/>
      <c r="F291" s="2"/>
      <c r="G291" s="2"/>
      <c r="H291" s="2"/>
      <c r="I291" s="2"/>
      <c r="J291" s="2"/>
      <c r="K291" s="2"/>
    </row>
    <row r="292" customFormat="false" ht="15" hidden="false" customHeight="false" outlineLevel="0" collapsed="false">
      <c r="A292" s="2"/>
      <c r="B292" s="2"/>
      <c r="C292" s="2"/>
      <c r="D292" s="2"/>
      <c r="E292" s="2"/>
      <c r="F292" s="2"/>
      <c r="G292" s="2"/>
      <c r="H292" s="2"/>
      <c r="I292" s="2"/>
      <c r="J292" s="2"/>
      <c r="K292" s="2"/>
    </row>
    <row r="293" customFormat="false" ht="15" hidden="false" customHeight="false" outlineLevel="0" collapsed="false">
      <c r="A293" s="2"/>
      <c r="B293" s="2"/>
      <c r="C293" s="2"/>
      <c r="D293" s="2"/>
      <c r="E293" s="2"/>
      <c r="F293" s="2"/>
      <c r="G293" s="2"/>
      <c r="H293" s="2"/>
      <c r="I293" s="2"/>
      <c r="J293" s="2"/>
      <c r="K293" s="2"/>
    </row>
    <row r="294" customFormat="false" ht="15" hidden="false" customHeight="false" outlineLevel="0" collapsed="false">
      <c r="A294" s="2"/>
      <c r="B294" s="2"/>
      <c r="C294" s="2"/>
      <c r="D294" s="2"/>
      <c r="E294" s="2"/>
      <c r="F294" s="2"/>
      <c r="G294" s="2"/>
      <c r="H294" s="2"/>
      <c r="I294" s="2"/>
      <c r="J294" s="2"/>
      <c r="K294" s="2"/>
    </row>
    <row r="295" customFormat="false" ht="15" hidden="false" customHeight="false" outlineLevel="0" collapsed="false">
      <c r="A295" s="2"/>
      <c r="B295" s="2"/>
      <c r="C295" s="2"/>
      <c r="D295" s="2"/>
      <c r="E295" s="2"/>
      <c r="F295" s="2"/>
      <c r="G295" s="2"/>
      <c r="H295" s="2"/>
      <c r="I295" s="2"/>
      <c r="J295" s="2"/>
      <c r="K295" s="2"/>
    </row>
    <row r="296" customFormat="false" ht="15" hidden="false" customHeight="false" outlineLevel="0" collapsed="false">
      <c r="A296" s="2"/>
      <c r="H296" s="2"/>
      <c r="I296" s="2"/>
      <c r="J296" s="2"/>
      <c r="K296" s="2"/>
    </row>
    <row r="297" customFormat="false" ht="15" hidden="false" customHeight="false" outlineLevel="0" collapsed="false">
      <c r="A297" s="2"/>
      <c r="H297" s="2"/>
      <c r="I297" s="2"/>
      <c r="J297" s="2"/>
      <c r="K297" s="2"/>
    </row>
    <row r="298" customFormat="false" ht="15" hidden="false" customHeight="false" outlineLevel="0" collapsed="false">
      <c r="A298" s="2"/>
      <c r="H298" s="2"/>
      <c r="I298" s="2"/>
      <c r="J298" s="2"/>
      <c r="K298" s="2"/>
    </row>
    <row r="299" customFormat="false" ht="15" hidden="false" customHeight="false" outlineLevel="0" collapsed="false">
      <c r="A299" s="2"/>
      <c r="I299" s="2"/>
      <c r="J299" s="2"/>
      <c r="K299" s="2"/>
    </row>
    <row r="300" customFormat="false" ht="15" hidden="false" customHeight="false" outlineLevel="0" collapsed="false">
      <c r="A300" s="2"/>
      <c r="I300" s="2"/>
      <c r="J300" s="2"/>
      <c r="K300" s="2"/>
    </row>
    <row r="301" customFormat="false" ht="15" hidden="false" customHeight="false" outlineLevel="0" collapsed="false">
      <c r="A301" s="2"/>
      <c r="I301" s="2"/>
      <c r="J301" s="2"/>
      <c r="K301" s="2"/>
    </row>
    <row r="302" customFormat="false" ht="15" hidden="false" customHeight="false" outlineLevel="0" collapsed="false">
      <c r="A302" s="2"/>
      <c r="I302" s="2"/>
      <c r="J302" s="2"/>
      <c r="K302" s="2"/>
    </row>
    <row r="303" customFormat="false" ht="15" hidden="false" customHeight="false" outlineLevel="0" collapsed="false">
      <c r="A303" s="2"/>
      <c r="I303" s="2"/>
      <c r="J303" s="2"/>
      <c r="K303" s="2"/>
    </row>
    <row r="304" customFormat="false" ht="15" hidden="false" customHeight="false" outlineLevel="0" collapsed="false">
      <c r="A304" s="2"/>
      <c r="I304" s="2"/>
      <c r="J304" s="2"/>
      <c r="K304" s="2"/>
    </row>
    <row r="305" customFormat="false" ht="15" hidden="false" customHeight="false" outlineLevel="0" collapsed="false">
      <c r="A305" s="2"/>
      <c r="I305" s="2"/>
      <c r="J305" s="2"/>
      <c r="K305" s="2"/>
    </row>
    <row r="306" customFormat="false" ht="15" hidden="false" customHeight="false" outlineLevel="0" collapsed="false">
      <c r="A306" s="2"/>
      <c r="I306" s="2"/>
      <c r="J306" s="2"/>
      <c r="K306" s="2"/>
    </row>
    <row r="307" customFormat="false" ht="15" hidden="false" customHeight="false" outlineLevel="0" collapsed="false">
      <c r="A307" s="2"/>
      <c r="I307" s="2"/>
      <c r="J307" s="2"/>
      <c r="K307" s="2"/>
    </row>
    <row r="308" customFormat="false" ht="15" hidden="false" customHeight="false" outlineLevel="0" collapsed="false">
      <c r="A308" s="2"/>
      <c r="I308" s="2"/>
      <c r="J308" s="2"/>
      <c r="K308" s="2"/>
    </row>
    <row r="309" customFormat="false" ht="15" hidden="false" customHeight="false" outlineLevel="0" collapsed="false">
      <c r="A309" s="2"/>
      <c r="I309" s="2"/>
      <c r="J309" s="2"/>
      <c r="K309" s="2"/>
    </row>
    <row r="310" customFormat="false" ht="15" hidden="false" customHeight="false" outlineLevel="0" collapsed="false">
      <c r="A310" s="2"/>
      <c r="I310" s="2"/>
      <c r="J310" s="2"/>
      <c r="K310" s="2"/>
    </row>
    <row r="311" customFormat="false" ht="15" hidden="false" customHeight="false" outlineLevel="0" collapsed="false">
      <c r="A311" s="2"/>
      <c r="I311" s="2"/>
      <c r="J311" s="2"/>
      <c r="K311" s="2"/>
    </row>
    <row r="312" customFormat="false" ht="15" hidden="false" customHeight="false" outlineLevel="0" collapsed="false">
      <c r="A312" s="2"/>
      <c r="I312" s="2"/>
      <c r="J312" s="2"/>
      <c r="K312" s="2"/>
    </row>
  </sheetData>
  <mergeCells count="42">
    <mergeCell ref="J2:O2"/>
    <mergeCell ref="B3:G3"/>
    <mergeCell ref="H5:H19"/>
    <mergeCell ref="J5:O5"/>
    <mergeCell ref="J17:O17"/>
    <mergeCell ref="H22:H28"/>
    <mergeCell ref="J22:O22"/>
    <mergeCell ref="B29:H29"/>
    <mergeCell ref="J29:O29"/>
    <mergeCell ref="J30:O30"/>
    <mergeCell ref="B31:F31"/>
    <mergeCell ref="E35:F35"/>
    <mergeCell ref="H35:H61"/>
    <mergeCell ref="J35:O35"/>
    <mergeCell ref="E36:F36"/>
    <mergeCell ref="E37:F37"/>
    <mergeCell ref="J37:O37"/>
    <mergeCell ref="E38:F38"/>
    <mergeCell ref="E39:F39"/>
    <mergeCell ref="J39:O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s>
  <dataValidations count="9">
    <dataValidation allowBlank="true" errorStyle="stop" operator="between" prompt="Date when the exam was completed" showDropDown="false" showErrorMessage="true" showInputMessage="true" sqref="D5:D6" type="none">
      <formula1>0</formula1>
      <formula2>0</formula2>
    </dataValidation>
    <dataValidation allowBlank="true" error="Please select from the list" errorStyle="stop" errorTitle="Invalid Entry!" operator="between" prompt="Please select from the list" promptTitle="Courses" showDropDown="false" showErrorMessage="false" showInputMessage="false" sqref="C34" type="none">
      <formula1>0</formula1>
      <formula2>0</formula2>
    </dataValidation>
    <dataValidation allowBlank="true" error="Please select from the list" errorStyle="stop" errorTitle="Invalid Entry!" operator="between" showDropDown="false" showErrorMessage="false" showInputMessage="true" sqref="C21" type="none">
      <formula1>0</formula1>
      <formula2>0</formula2>
    </dataValidation>
    <dataValidation allowBlank="true" errorStyle="stop" operator="between" prompt="Please note any extra study leave you received during work hours." showDropDown="false" showErrorMessage="true" showInputMessage="true" sqref="F7:F18 F20" type="none">
      <formula1>0</formula1>
      <formula2>0</formula2>
    </dataValidation>
    <dataValidation allowBlank="true" errorStyle="stop" operator="between" showDropDown="false" showErrorMessage="true" showInputMessage="true" sqref="B31:F31" type="none">
      <formula1>0</formula1>
      <formula2>0</formula2>
    </dataValidation>
    <dataValidation allowBlank="true" error="Please select from the list" errorStyle="stop" errorTitle="Invalid Entry!" operator="between" prompt="Please select from the list" showDropDown="false" showErrorMessage="true" showInputMessage="true" sqref="C30 C32" type="none">
      <formula1>0</formula1>
      <formula2>0</formula2>
    </dataValidation>
    <dataValidation allowBlank="true" error="Please select from the list" errorStyle="stop" errorTitle="Invalid Entry!" operator="between" prompt="Please select from the list" showDropDown="false" showErrorMessage="true" showInputMessage="true" sqref="C19:C20 C33" type="list">
      <formula1>'List - Hide'!$D$2:$D$3</formula1>
      <formula2>0</formula2>
    </dataValidation>
    <dataValidation allowBlank="true" error="Please pick from the list!" errorStyle="stop" errorTitle="Invalid Entry!" operator="between" prompt="Please select from the list" showDropDown="false" showErrorMessage="true" showInputMessage="true" sqref="C36:C60" type="list">
      <formula1>'List - Hide'!$C$2:$C$19</formula1>
      <formula2>0</formula2>
    </dataValidation>
    <dataValidation allowBlank="true" error="Please pick from the list!" errorStyle="stop" errorTitle="Invalid Entry!" operator="between" prompt="Please select from the list" showDropDown="false" showErrorMessage="true" showInputMessage="true" sqref="C61:C62 C64 C72:C90" type="list">
      <formula1>'List - Hide'!$A$2:$A$17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customHeight="true" zeroHeight="false" outlineLevelRow="0" outlineLevelCol="0"/>
  <cols>
    <col collapsed="false" customWidth="false" hidden="false" outlineLevel="0" max="1" min="1" style="48" width="9.14"/>
    <col collapsed="false" customWidth="true" hidden="false" outlineLevel="0" max="2" min="2" style="48" width="86.14"/>
    <col collapsed="false" customWidth="true" hidden="false" outlineLevel="0" max="3" min="3" style="48" width="83.85"/>
    <col collapsed="false" customWidth="false" hidden="false" outlineLevel="0" max="16384" min="4" style="48" width="9.14"/>
  </cols>
  <sheetData>
    <row r="2" customFormat="false" ht="17.35" hidden="false" customHeight="false" outlineLevel="0" collapsed="false">
      <c r="B2" s="83" t="s">
        <v>63</v>
      </c>
    </row>
    <row r="4" customFormat="false" ht="15" hidden="false" customHeight="false" outlineLevel="0" collapsed="false">
      <c r="B4" s="84" t="s">
        <v>64</v>
      </c>
      <c r="C4" s="85" t="s">
        <v>65</v>
      </c>
    </row>
    <row r="5" customFormat="false" ht="19.5" hidden="false" customHeight="true" outlineLevel="0" collapsed="false">
      <c r="B5" s="86" t="s">
        <v>66</v>
      </c>
      <c r="C5" s="86"/>
    </row>
    <row r="6" customFormat="false" ht="27" hidden="false" customHeight="true" outlineLevel="0" collapsed="false">
      <c r="B6" s="86" t="s">
        <v>67</v>
      </c>
      <c r="C6" s="86"/>
    </row>
    <row r="7" customFormat="false" ht="29.25" hidden="false" customHeight="true" outlineLevel="0" collapsed="false">
      <c r="B7" s="86" t="s">
        <v>68</v>
      </c>
      <c r="C7" s="86"/>
    </row>
    <row r="8" customFormat="false" ht="20.25" hidden="false" customHeight="true" outlineLevel="0" collapsed="false">
      <c r="B8" s="86" t="s">
        <v>69</v>
      </c>
      <c r="C8" s="86" t="s">
        <v>70</v>
      </c>
    </row>
    <row r="9" customFormat="false" ht="51.75" hidden="false" customHeight="true" outlineLevel="0" collapsed="false">
      <c r="B9" s="86" t="s">
        <v>71</v>
      </c>
      <c r="C9" s="87" t="s">
        <v>72</v>
      </c>
    </row>
    <row r="10" customFormat="false" ht="30" hidden="false" customHeight="true" outlineLevel="0" collapsed="false">
      <c r="B10" s="86" t="s">
        <v>73</v>
      </c>
      <c r="C10" s="86" t="s">
        <v>74</v>
      </c>
    </row>
    <row r="11" customFormat="false" ht="30.75" hidden="false" customHeight="true" outlineLevel="0" collapsed="false">
      <c r="B11" s="86" t="s">
        <v>75</v>
      </c>
      <c r="C11" s="86" t="s">
        <v>76</v>
      </c>
    </row>
    <row r="12" customFormat="false" ht="27.75" hidden="false" customHeight="true" outlineLevel="0" collapsed="false">
      <c r="B12" s="86" t="s">
        <v>77</v>
      </c>
      <c r="C12" s="86" t="s">
        <v>74</v>
      </c>
    </row>
    <row r="13" customFormat="false" ht="33" hidden="false" customHeight="true" outlineLevel="0" collapsed="false">
      <c r="B13" s="86" t="s">
        <v>78</v>
      </c>
      <c r="C13" s="86" t="s">
        <v>10</v>
      </c>
    </row>
    <row r="14" customFormat="false" ht="30.75" hidden="false" customHeight="true" outlineLevel="0" collapsed="false">
      <c r="B14" s="86" t="s">
        <v>79</v>
      </c>
      <c r="C14" s="86" t="s">
        <v>80</v>
      </c>
    </row>
    <row r="15" customFormat="false" ht="19.5" hidden="false" customHeight="true" outlineLevel="0" collapsed="false">
      <c r="B15" s="86" t="s">
        <v>81</v>
      </c>
      <c r="C15" s="86"/>
    </row>
    <row r="16" customFormat="false" ht="15" hidden="false" customHeight="false" outlineLevel="0" collapsed="false">
      <c r="B16" s="88"/>
      <c r="C16" s="88"/>
    </row>
    <row r="17" customFormat="false" ht="15" hidden="false" customHeight="false" outlineLevel="0" collapsed="false">
      <c r="B17" s="88"/>
      <c r="C17" s="88"/>
    </row>
    <row r="18" customFormat="false" ht="15" hidden="false" customHeight="false" outlineLevel="0" collapsed="false">
      <c r="B18" s="88"/>
      <c r="C18" s="88"/>
    </row>
    <row r="19" customFormat="false" ht="15" hidden="false" customHeight="false" outlineLevel="0" collapsed="false">
      <c r="B19" s="88"/>
      <c r="C19" s="88"/>
    </row>
    <row r="20" customFormat="false" ht="15" hidden="false" customHeight="false" outlineLevel="0" collapsed="false">
      <c r="B20" s="88"/>
      <c r="C20" s="88"/>
    </row>
    <row r="21" customFormat="false" ht="15" hidden="false" customHeight="false" outlineLevel="0" collapsed="false">
      <c r="B21" s="88"/>
      <c r="C21" s="88"/>
    </row>
    <row r="22" customFormat="false" ht="15" hidden="false" customHeight="false" outlineLevel="0" collapsed="false">
      <c r="B22" s="88"/>
      <c r="C22" s="88"/>
    </row>
    <row r="23" customFormat="false" ht="15" hidden="false" customHeight="false" outlineLevel="0" collapsed="false">
      <c r="B23" s="88"/>
      <c r="C23" s="88"/>
    </row>
    <row r="24" customFormat="false" ht="15" hidden="false" customHeight="false" outlineLevel="0" collapsed="false">
      <c r="B24" s="88"/>
      <c r="C24" s="88"/>
    </row>
    <row r="25" customFormat="false" ht="15" hidden="false" customHeight="false" outlineLevel="0" collapsed="false">
      <c r="B25" s="88"/>
      <c r="C25" s="88"/>
    </row>
    <row r="26" customFormat="false" ht="15" hidden="false" customHeight="false" outlineLevel="0" collapsed="false">
      <c r="B26" s="88"/>
      <c r="C26" s="88"/>
    </row>
    <row r="27" customFormat="false" ht="15" hidden="false" customHeight="false" outlineLevel="0" collapsed="false">
      <c r="B27" s="88"/>
      <c r="C27" s="88"/>
    </row>
    <row r="28" customFormat="false" ht="15" hidden="false" customHeight="false" outlineLevel="0" collapsed="false">
      <c r="B28" s="88"/>
      <c r="C28" s="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6796875" defaultRowHeight="1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31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20" activeCellId="0" sqref="A20"/>
    </sheetView>
  </sheetViews>
  <sheetFormatPr defaultColWidth="9.1484375" defaultRowHeight="15" customHeight="true" zeroHeight="false" outlineLevelRow="0" outlineLevelCol="0"/>
  <cols>
    <col collapsed="false" customWidth="true" hidden="false" outlineLevel="0" max="1" min="1" style="48" width="84.29"/>
    <col collapsed="false" customWidth="true" hidden="false" outlineLevel="0" max="2" min="2" style="48" width="94.29"/>
    <col collapsed="false" customWidth="true" hidden="false" outlineLevel="0" max="3" min="3" style="48" width="71"/>
    <col collapsed="false" customWidth="false" hidden="false" outlineLevel="0" max="16384" min="4" style="48" width="9.14"/>
  </cols>
  <sheetData>
    <row r="1" customFormat="false" ht="15" hidden="false" customHeight="false" outlineLevel="0" collapsed="false">
      <c r="A1" s="89" t="s">
        <v>82</v>
      </c>
      <c r="B1" s="49" t="s">
        <v>83</v>
      </c>
      <c r="C1" s="49" t="s">
        <v>84</v>
      </c>
    </row>
    <row r="2" customFormat="false" ht="30" hidden="false" customHeight="true" outlineLevel="0" collapsed="false">
      <c r="A2" s="90" t="s">
        <v>85</v>
      </c>
      <c r="B2" s="91" t="s">
        <v>86</v>
      </c>
      <c r="C2" s="92" t="s">
        <v>87</v>
      </c>
      <c r="D2" s="69"/>
      <c r="E2" s="69"/>
      <c r="F2" s="69"/>
      <c r="G2" s="69"/>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c r="AU2" s="69"/>
      <c r="AV2" s="69"/>
      <c r="AW2" s="69"/>
      <c r="AX2" s="69"/>
      <c r="AY2" s="69"/>
      <c r="AZ2" s="69"/>
      <c r="BA2" s="69"/>
    </row>
    <row r="3" customFormat="false" ht="35.05" hidden="false" customHeight="false" outlineLevel="0" collapsed="false">
      <c r="A3" s="90" t="s">
        <v>88</v>
      </c>
      <c r="B3" s="92" t="s">
        <v>89</v>
      </c>
      <c r="C3" s="92" t="s">
        <v>90</v>
      </c>
      <c r="D3" s="69"/>
      <c r="E3" s="69"/>
      <c r="F3" s="69"/>
      <c r="G3" s="69"/>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c r="AU3" s="69"/>
      <c r="AV3" s="69"/>
      <c r="AW3" s="69"/>
      <c r="AX3" s="69"/>
      <c r="AY3" s="69"/>
      <c r="AZ3" s="69"/>
      <c r="BA3" s="69"/>
    </row>
    <row r="4" customFormat="false" ht="35.05" hidden="false" customHeight="false" outlineLevel="0" collapsed="false">
      <c r="A4" s="90" t="s">
        <v>91</v>
      </c>
      <c r="B4" s="92" t="s">
        <v>92</v>
      </c>
      <c r="C4" s="92" t="s">
        <v>93</v>
      </c>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c r="AG4" s="69"/>
      <c r="AH4" s="69"/>
      <c r="AI4" s="69"/>
      <c r="AJ4" s="69"/>
      <c r="AK4" s="69"/>
      <c r="AL4" s="69"/>
      <c r="AM4" s="69"/>
      <c r="AN4" s="69"/>
      <c r="AO4" s="69"/>
      <c r="AP4" s="69"/>
      <c r="AQ4" s="69"/>
      <c r="AR4" s="69"/>
      <c r="AS4" s="69"/>
      <c r="AT4" s="69"/>
      <c r="AU4" s="69"/>
      <c r="AV4" s="69"/>
      <c r="AW4" s="69"/>
      <c r="AX4" s="69"/>
      <c r="AY4" s="69"/>
      <c r="AZ4" s="69"/>
      <c r="BA4" s="69"/>
    </row>
    <row r="5" customFormat="false" ht="23.85" hidden="false" customHeight="false" outlineLevel="0" collapsed="false">
      <c r="A5" s="90" t="s">
        <v>94</v>
      </c>
      <c r="B5" s="92" t="s">
        <v>95</v>
      </c>
      <c r="C5" s="92" t="s">
        <v>96</v>
      </c>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c r="AG5" s="69"/>
      <c r="AH5" s="69"/>
      <c r="AI5" s="69"/>
      <c r="AJ5" s="69"/>
      <c r="AK5" s="69"/>
      <c r="AL5" s="69"/>
      <c r="AM5" s="69"/>
      <c r="AN5" s="69"/>
      <c r="AO5" s="69"/>
      <c r="AP5" s="69"/>
      <c r="AQ5" s="69"/>
      <c r="AR5" s="69"/>
      <c r="AS5" s="69"/>
      <c r="AT5" s="69"/>
      <c r="AU5" s="69"/>
      <c r="AV5" s="69"/>
      <c r="AW5" s="69"/>
      <c r="AX5" s="69"/>
      <c r="AY5" s="69"/>
      <c r="AZ5" s="69"/>
      <c r="BA5" s="69"/>
    </row>
    <row r="6" customFormat="false" ht="23.85" hidden="false" customHeight="false" outlineLevel="0" collapsed="false">
      <c r="A6" s="90" t="s">
        <v>97</v>
      </c>
      <c r="B6" s="92" t="s">
        <v>98</v>
      </c>
      <c r="C6" s="92" t="s">
        <v>99</v>
      </c>
      <c r="D6" s="69"/>
      <c r="E6" s="69"/>
      <c r="F6" s="69"/>
      <c r="G6" s="69"/>
      <c r="H6" s="69"/>
      <c r="I6" s="69"/>
      <c r="J6" s="69"/>
      <c r="K6" s="69"/>
      <c r="L6" s="69"/>
      <c r="M6" s="69"/>
      <c r="N6" s="69"/>
      <c r="O6" s="69"/>
      <c r="P6" s="69"/>
      <c r="Q6" s="69"/>
      <c r="R6" s="69"/>
      <c r="S6" s="69"/>
      <c r="T6" s="69"/>
      <c r="U6" s="69"/>
      <c r="V6" s="69"/>
      <c r="W6" s="69"/>
      <c r="X6" s="69"/>
      <c r="Y6" s="69"/>
      <c r="Z6" s="69"/>
      <c r="AA6" s="69"/>
      <c r="AB6" s="69"/>
      <c r="AC6" s="69"/>
      <c r="AD6" s="69"/>
      <c r="AE6" s="69"/>
      <c r="AF6" s="69"/>
      <c r="AG6" s="69"/>
      <c r="AH6" s="69"/>
      <c r="AI6" s="69"/>
      <c r="AJ6" s="69"/>
      <c r="AK6" s="69"/>
      <c r="AL6" s="69"/>
      <c r="AM6" s="69"/>
      <c r="AN6" s="69"/>
      <c r="AO6" s="69"/>
      <c r="AP6" s="69"/>
      <c r="AQ6" s="69"/>
      <c r="AR6" s="69"/>
      <c r="AS6" s="69"/>
      <c r="AT6" s="69"/>
      <c r="AU6" s="69"/>
      <c r="AV6" s="69"/>
      <c r="AW6" s="69"/>
      <c r="AX6" s="69"/>
      <c r="AY6" s="69"/>
      <c r="AZ6" s="69"/>
      <c r="BA6" s="69"/>
    </row>
    <row r="7" customFormat="false" ht="23.85" hidden="false" customHeight="false" outlineLevel="0" collapsed="false">
      <c r="A7" s="90" t="s">
        <v>100</v>
      </c>
      <c r="B7" s="92" t="s">
        <v>101</v>
      </c>
      <c r="C7" s="92" t="s">
        <v>102</v>
      </c>
      <c r="D7" s="69"/>
      <c r="E7" s="69"/>
      <c r="F7" s="69"/>
      <c r="G7" s="69"/>
      <c r="H7" s="69"/>
      <c r="I7" s="69"/>
      <c r="J7" s="69"/>
      <c r="K7" s="69"/>
      <c r="L7" s="69"/>
      <c r="M7" s="69"/>
      <c r="N7" s="69"/>
      <c r="O7" s="69"/>
      <c r="P7" s="69"/>
      <c r="Q7" s="69"/>
      <c r="R7" s="69"/>
      <c r="S7" s="69"/>
      <c r="T7" s="69"/>
      <c r="U7" s="69"/>
      <c r="V7" s="69"/>
      <c r="W7" s="69"/>
      <c r="X7" s="69"/>
      <c r="Y7" s="69"/>
      <c r="Z7" s="69"/>
      <c r="AA7" s="69"/>
      <c r="AB7" s="69"/>
      <c r="AC7" s="69"/>
      <c r="AD7" s="69"/>
      <c r="AE7" s="69"/>
      <c r="AF7" s="69"/>
      <c r="AG7" s="69"/>
      <c r="AH7" s="69"/>
      <c r="AI7" s="69"/>
      <c r="AJ7" s="69"/>
      <c r="AK7" s="69"/>
      <c r="AL7" s="69"/>
      <c r="AM7" s="69"/>
      <c r="AN7" s="69"/>
      <c r="AO7" s="69"/>
      <c r="AP7" s="69"/>
      <c r="AQ7" s="69"/>
      <c r="AR7" s="69"/>
      <c r="AS7" s="69"/>
      <c r="AT7" s="69"/>
      <c r="AU7" s="69"/>
      <c r="AV7" s="69"/>
      <c r="AW7" s="69"/>
      <c r="AX7" s="69"/>
      <c r="AY7" s="69"/>
      <c r="AZ7" s="69"/>
      <c r="BA7" s="69"/>
    </row>
    <row r="8" customFormat="false" ht="23.85" hidden="false" customHeight="false" outlineLevel="0" collapsed="false">
      <c r="A8" s="90" t="s">
        <v>103</v>
      </c>
      <c r="B8" s="92" t="s">
        <v>104</v>
      </c>
      <c r="C8" s="69"/>
      <c r="D8" s="69"/>
      <c r="E8" s="69"/>
      <c r="F8" s="69"/>
      <c r="G8" s="69"/>
      <c r="H8" s="69"/>
      <c r="I8" s="69"/>
      <c r="J8" s="69"/>
      <c r="K8" s="69"/>
      <c r="L8" s="69"/>
      <c r="M8" s="69"/>
      <c r="N8" s="69"/>
      <c r="O8" s="69"/>
      <c r="P8" s="69"/>
      <c r="Q8" s="69"/>
      <c r="R8" s="69"/>
      <c r="S8" s="69"/>
      <c r="T8" s="69"/>
      <c r="U8" s="69"/>
      <c r="V8" s="69"/>
      <c r="W8" s="69"/>
      <c r="X8" s="69"/>
      <c r="Y8" s="69"/>
      <c r="Z8" s="69"/>
      <c r="AA8" s="69"/>
      <c r="AB8" s="69"/>
      <c r="AC8" s="69"/>
      <c r="AD8" s="69"/>
      <c r="AE8" s="69"/>
      <c r="AF8" s="69"/>
      <c r="AG8" s="69"/>
      <c r="AH8" s="69"/>
      <c r="AI8" s="69"/>
      <c r="AJ8" s="69"/>
      <c r="AK8" s="69"/>
      <c r="AL8" s="69"/>
      <c r="AM8" s="69"/>
      <c r="AN8" s="69"/>
      <c r="AO8" s="69"/>
      <c r="AP8" s="69"/>
      <c r="AQ8" s="69"/>
      <c r="AR8" s="69"/>
      <c r="AS8" s="69"/>
      <c r="AT8" s="69"/>
      <c r="AU8" s="69"/>
      <c r="AV8" s="69"/>
      <c r="AW8" s="69"/>
      <c r="AX8" s="69"/>
      <c r="AY8" s="69"/>
      <c r="AZ8" s="69"/>
      <c r="BA8" s="69"/>
    </row>
    <row r="9" customFormat="false" ht="15" hidden="false" customHeight="false" outlineLevel="0" collapsed="false">
      <c r="A9" s="90" t="s">
        <v>105</v>
      </c>
      <c r="B9" s="92" t="s">
        <v>106</v>
      </c>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c r="AG9" s="69"/>
      <c r="AH9" s="69"/>
      <c r="AI9" s="69"/>
      <c r="AJ9" s="69"/>
      <c r="AK9" s="69"/>
      <c r="AL9" s="69"/>
      <c r="AM9" s="69"/>
      <c r="AN9" s="69"/>
      <c r="AO9" s="69"/>
      <c r="AP9" s="69"/>
      <c r="AQ9" s="69"/>
      <c r="AR9" s="69"/>
      <c r="AS9" s="69"/>
      <c r="AT9" s="69"/>
      <c r="AU9" s="69"/>
      <c r="AV9" s="69"/>
      <c r="AW9" s="69"/>
      <c r="AX9" s="69"/>
      <c r="AY9" s="69"/>
      <c r="AZ9" s="69"/>
      <c r="BA9" s="69"/>
    </row>
    <row r="10" customFormat="false" ht="23.85" hidden="false" customHeight="false" outlineLevel="0" collapsed="false">
      <c r="A10" s="90" t="s">
        <v>107</v>
      </c>
      <c r="B10" s="92" t="s">
        <v>108</v>
      </c>
      <c r="C10" s="69"/>
      <c r="D10" s="69"/>
      <c r="E10" s="69"/>
      <c r="F10" s="69"/>
      <c r="G10" s="69"/>
      <c r="H10" s="69"/>
      <c r="I10" s="69"/>
      <c r="J10" s="69"/>
      <c r="K10" s="69"/>
      <c r="L10" s="69"/>
      <c r="M10" s="69"/>
      <c r="N10" s="69"/>
      <c r="O10" s="69"/>
      <c r="P10" s="69"/>
      <c r="Q10" s="69"/>
      <c r="R10" s="69"/>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c r="AQ10" s="69"/>
      <c r="AR10" s="69"/>
      <c r="AS10" s="69"/>
      <c r="AT10" s="69"/>
      <c r="AU10" s="69"/>
      <c r="AV10" s="69"/>
      <c r="AW10" s="69"/>
      <c r="AX10" s="69"/>
      <c r="AY10" s="69"/>
      <c r="AZ10" s="69"/>
      <c r="BA10" s="69"/>
    </row>
    <row r="11" customFormat="false" ht="23.85" hidden="false" customHeight="false" outlineLevel="0" collapsed="false">
      <c r="A11" s="90" t="s">
        <v>109</v>
      </c>
      <c r="B11" s="92" t="s">
        <v>110</v>
      </c>
      <c r="C11" s="69"/>
      <c r="D11" s="69"/>
      <c r="E11" s="69"/>
      <c r="F11" s="69"/>
      <c r="G11" s="69"/>
      <c r="H11" s="69"/>
      <c r="I11" s="69"/>
      <c r="J11" s="69"/>
      <c r="K11" s="69"/>
      <c r="L11" s="69"/>
      <c r="M11" s="69"/>
      <c r="N11" s="69"/>
      <c r="O11" s="69"/>
      <c r="P11" s="69"/>
      <c r="Q11" s="69"/>
      <c r="R11" s="69"/>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c r="AT11" s="69"/>
      <c r="AU11" s="69"/>
      <c r="AV11" s="69"/>
      <c r="AW11" s="69"/>
      <c r="AX11" s="69"/>
      <c r="AY11" s="69"/>
      <c r="AZ11" s="69"/>
      <c r="BA11" s="69"/>
    </row>
    <row r="12" customFormat="false" ht="23.85" hidden="false" customHeight="false" outlineLevel="0" collapsed="false">
      <c r="A12" s="90" t="s">
        <v>111</v>
      </c>
      <c r="B12" s="69" t="s">
        <v>112</v>
      </c>
      <c r="C12" s="69"/>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69"/>
      <c r="AF12" s="69"/>
      <c r="AG12" s="69"/>
      <c r="AH12" s="69"/>
      <c r="AI12" s="69"/>
      <c r="AJ12" s="69"/>
      <c r="AK12" s="69"/>
      <c r="AL12" s="69"/>
      <c r="AM12" s="69"/>
      <c r="AN12" s="69"/>
      <c r="AO12" s="69"/>
      <c r="AP12" s="69"/>
      <c r="AQ12" s="69"/>
      <c r="AR12" s="69"/>
      <c r="AS12" s="69"/>
      <c r="AT12" s="69"/>
      <c r="AU12" s="69"/>
      <c r="AV12" s="69"/>
      <c r="AW12" s="69"/>
      <c r="AX12" s="69"/>
      <c r="AY12" s="69"/>
      <c r="AZ12" s="69"/>
      <c r="BA12" s="69"/>
    </row>
    <row r="13" customFormat="false" ht="23.85" hidden="false" customHeight="false" outlineLevel="0" collapsed="false">
      <c r="A13" s="90" t="s">
        <v>113</v>
      </c>
      <c r="B13" s="69" t="s">
        <v>114</v>
      </c>
      <c r="C13" s="69"/>
      <c r="D13" s="69"/>
      <c r="E13" s="69"/>
      <c r="F13" s="69"/>
      <c r="G13" s="69"/>
      <c r="H13" s="69"/>
      <c r="I13" s="69"/>
      <c r="J13" s="69"/>
      <c r="K13" s="69"/>
      <c r="L13" s="69"/>
      <c r="M13" s="69"/>
      <c r="N13" s="69"/>
      <c r="O13" s="69"/>
      <c r="P13" s="69"/>
      <c r="Q13" s="69"/>
      <c r="R13" s="69"/>
      <c r="S13" s="69"/>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c r="AT13" s="69"/>
      <c r="AU13" s="69"/>
      <c r="AV13" s="69"/>
      <c r="AW13" s="69"/>
      <c r="AX13" s="69"/>
      <c r="AY13" s="69"/>
      <c r="AZ13" s="69"/>
      <c r="BA13" s="69"/>
    </row>
    <row r="14" customFormat="false" ht="23.85" hidden="false" customHeight="false" outlineLevel="0" collapsed="false">
      <c r="A14" s="90" t="s">
        <v>115</v>
      </c>
      <c r="B14" s="69" t="s">
        <v>116</v>
      </c>
      <c r="C14" s="69"/>
      <c r="D14" s="69"/>
      <c r="E14" s="69"/>
      <c r="F14" s="69"/>
      <c r="G14" s="69"/>
      <c r="H14" s="69"/>
      <c r="I14" s="69"/>
      <c r="J14" s="69"/>
      <c r="K14" s="69"/>
      <c r="L14" s="69"/>
      <c r="M14" s="69"/>
      <c r="N14" s="69"/>
      <c r="O14" s="69"/>
      <c r="P14" s="69"/>
      <c r="Q14" s="69"/>
      <c r="R14" s="69"/>
      <c r="S14" s="69"/>
      <c r="T14" s="69"/>
      <c r="U14" s="69"/>
      <c r="V14" s="69"/>
      <c r="W14" s="69"/>
      <c r="X14" s="69"/>
      <c r="Y14" s="69"/>
      <c r="Z14" s="69"/>
      <c r="AA14" s="69"/>
      <c r="AB14" s="69"/>
      <c r="AC14" s="69"/>
      <c r="AD14" s="69"/>
      <c r="AE14" s="69"/>
      <c r="AF14" s="69"/>
      <c r="AG14" s="69"/>
      <c r="AH14" s="69"/>
      <c r="AI14" s="69"/>
      <c r="AJ14" s="69"/>
      <c r="AK14" s="69"/>
      <c r="AL14" s="69"/>
      <c r="AM14" s="69"/>
      <c r="AN14" s="69"/>
      <c r="AO14" s="69"/>
      <c r="AP14" s="69"/>
      <c r="AQ14" s="69"/>
      <c r="AR14" s="69"/>
      <c r="AS14" s="69"/>
      <c r="AT14" s="69"/>
      <c r="AU14" s="69"/>
      <c r="AV14" s="69"/>
      <c r="AW14" s="69"/>
      <c r="AX14" s="69"/>
      <c r="AY14" s="69"/>
      <c r="AZ14" s="69"/>
      <c r="BA14" s="69"/>
    </row>
    <row r="15" customFormat="false" ht="23.85" hidden="false" customHeight="false" outlineLevel="0" collapsed="false">
      <c r="A15" s="90" t="s">
        <v>117</v>
      </c>
      <c r="B15" s="69" t="s">
        <v>118</v>
      </c>
      <c r="C15" s="69"/>
      <c r="D15" s="69"/>
      <c r="E15" s="69"/>
      <c r="F15" s="69"/>
      <c r="G15" s="69"/>
      <c r="H15" s="69"/>
      <c r="I15" s="69"/>
      <c r="J15" s="69"/>
      <c r="K15" s="69"/>
      <c r="L15" s="69"/>
      <c r="M15" s="69"/>
      <c r="N15" s="69"/>
      <c r="O15" s="69"/>
      <c r="P15" s="69"/>
      <c r="Q15" s="69"/>
      <c r="R15" s="69"/>
      <c r="S15" s="69"/>
      <c r="T15" s="69"/>
      <c r="U15" s="69"/>
      <c r="V15" s="69"/>
      <c r="W15" s="69"/>
      <c r="X15" s="69"/>
      <c r="Y15" s="69"/>
      <c r="Z15" s="69"/>
      <c r="AA15" s="69"/>
      <c r="AB15" s="69"/>
      <c r="AC15" s="69"/>
      <c r="AD15" s="69"/>
      <c r="AE15" s="69"/>
      <c r="AF15" s="69"/>
      <c r="AG15" s="69"/>
      <c r="AH15" s="69"/>
      <c r="AI15" s="69"/>
      <c r="AJ15" s="69"/>
      <c r="AK15" s="69"/>
      <c r="AL15" s="69"/>
      <c r="AM15" s="69"/>
      <c r="AN15" s="69"/>
      <c r="AO15" s="69"/>
      <c r="AP15" s="69"/>
      <c r="AQ15" s="69"/>
      <c r="AR15" s="69"/>
      <c r="AS15" s="69"/>
      <c r="AT15" s="69"/>
      <c r="AU15" s="69"/>
      <c r="AV15" s="69"/>
      <c r="AW15" s="69"/>
      <c r="AX15" s="69"/>
      <c r="AY15" s="69"/>
      <c r="AZ15" s="69"/>
      <c r="BA15" s="69"/>
    </row>
    <row r="16" customFormat="false" ht="23.85" hidden="false" customHeight="false" outlineLevel="0" collapsed="false">
      <c r="A16" s="90" t="s">
        <v>119</v>
      </c>
      <c r="B16" s="69" t="s">
        <v>120</v>
      </c>
      <c r="C16" s="69"/>
      <c r="D16" s="69"/>
      <c r="E16" s="69"/>
      <c r="F16" s="69"/>
      <c r="G16" s="69"/>
      <c r="H16" s="69"/>
      <c r="I16" s="69"/>
      <c r="J16" s="69"/>
      <c r="K16" s="69"/>
      <c r="L16" s="69"/>
      <c r="M16" s="69"/>
      <c r="N16" s="69"/>
      <c r="O16" s="69"/>
      <c r="P16" s="69"/>
      <c r="Q16" s="69"/>
      <c r="R16" s="69"/>
      <c r="S16" s="69"/>
      <c r="T16" s="69"/>
      <c r="U16" s="69"/>
      <c r="V16" s="69"/>
      <c r="W16" s="69"/>
      <c r="X16" s="69"/>
      <c r="Y16" s="69"/>
      <c r="Z16" s="69"/>
      <c r="AA16" s="69"/>
      <c r="AB16" s="69"/>
      <c r="AC16" s="69"/>
      <c r="AD16" s="69"/>
      <c r="AE16" s="69"/>
      <c r="AF16" s="69"/>
      <c r="AG16" s="69"/>
      <c r="AH16" s="69"/>
      <c r="AI16" s="69"/>
      <c r="AJ16" s="69"/>
      <c r="AK16" s="69"/>
      <c r="AL16" s="69"/>
      <c r="AM16" s="69"/>
      <c r="AN16" s="69"/>
      <c r="AO16" s="69"/>
      <c r="AP16" s="69"/>
      <c r="AQ16" s="69"/>
      <c r="AR16" s="69"/>
      <c r="AS16" s="69"/>
      <c r="AT16" s="69"/>
      <c r="AU16" s="69"/>
      <c r="AV16" s="69"/>
      <c r="AW16" s="69"/>
      <c r="AX16" s="69"/>
      <c r="AY16" s="69"/>
      <c r="AZ16" s="69"/>
      <c r="BA16" s="69"/>
    </row>
    <row r="17" customFormat="false" ht="35.05" hidden="false" customHeight="false" outlineLevel="0" collapsed="false">
      <c r="A17" s="90" t="s">
        <v>121</v>
      </c>
      <c r="B17" s="69" t="s">
        <v>122</v>
      </c>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c r="AC17" s="69"/>
      <c r="AD17" s="69"/>
      <c r="AE17" s="69"/>
      <c r="AF17" s="69"/>
      <c r="AG17" s="69"/>
      <c r="AH17" s="69"/>
      <c r="AI17" s="69"/>
      <c r="AJ17" s="69"/>
      <c r="AK17" s="69"/>
      <c r="AL17" s="69"/>
      <c r="AM17" s="69"/>
      <c r="AN17" s="69"/>
      <c r="AO17" s="69"/>
      <c r="AP17" s="69"/>
      <c r="AQ17" s="69"/>
      <c r="AR17" s="69"/>
      <c r="AS17" s="69"/>
      <c r="AT17" s="69"/>
      <c r="AU17" s="69"/>
      <c r="AV17" s="69"/>
      <c r="AW17" s="69"/>
      <c r="AX17" s="69"/>
      <c r="AY17" s="69"/>
      <c r="AZ17" s="69"/>
      <c r="BA17" s="69"/>
    </row>
    <row r="18" customFormat="false" ht="23.85" hidden="false" customHeight="false" outlineLevel="0" collapsed="false">
      <c r="A18" s="90" t="s">
        <v>123</v>
      </c>
      <c r="B18" s="69" t="s">
        <v>124</v>
      </c>
      <c r="C18" s="69"/>
      <c r="D18" s="69"/>
      <c r="E18" s="69"/>
      <c r="F18" s="69"/>
      <c r="G18" s="69"/>
      <c r="H18" s="69"/>
      <c r="I18" s="69"/>
      <c r="J18" s="69"/>
      <c r="K18" s="69"/>
      <c r="L18" s="69"/>
      <c r="M18" s="69"/>
      <c r="N18" s="69"/>
      <c r="O18" s="69"/>
      <c r="P18" s="69"/>
      <c r="Q18" s="69"/>
      <c r="R18" s="69"/>
      <c r="S18" s="69"/>
      <c r="T18" s="69"/>
      <c r="U18" s="69"/>
      <c r="V18" s="69"/>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row>
    <row r="19" customFormat="false" ht="23.85" hidden="false" customHeight="false" outlineLevel="0" collapsed="false">
      <c r="A19" s="90" t="s">
        <v>125</v>
      </c>
      <c r="B19" s="69" t="s">
        <v>126</v>
      </c>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c r="AG19" s="69"/>
      <c r="AH19" s="69"/>
      <c r="AI19" s="69"/>
      <c r="AJ19" s="69"/>
      <c r="AK19" s="69"/>
      <c r="AL19" s="69"/>
      <c r="AM19" s="69"/>
      <c r="AN19" s="69"/>
      <c r="AO19" s="69"/>
      <c r="AP19" s="69"/>
      <c r="AQ19" s="69"/>
      <c r="AR19" s="69"/>
      <c r="AS19" s="69"/>
      <c r="AT19" s="69"/>
      <c r="AU19" s="69"/>
      <c r="AV19" s="69"/>
      <c r="AW19" s="69"/>
      <c r="AX19" s="69"/>
      <c r="AY19" s="69"/>
      <c r="AZ19" s="69"/>
      <c r="BA19" s="69"/>
    </row>
    <row r="20" customFormat="false" ht="15" hidden="false" customHeight="false" outlineLevel="0" collapsed="false">
      <c r="A20" s="90" t="s">
        <v>127</v>
      </c>
      <c r="B20" s="69" t="s">
        <v>128</v>
      </c>
      <c r="C20" s="69"/>
      <c r="D20" s="69"/>
      <c r="E20" s="69"/>
      <c r="F20" s="69"/>
      <c r="G20" s="69"/>
      <c r="H20" s="69"/>
      <c r="I20" s="69"/>
      <c r="J20" s="69"/>
      <c r="K20" s="69"/>
      <c r="L20" s="69"/>
      <c r="M20" s="69"/>
      <c r="N20" s="69"/>
      <c r="O20" s="69"/>
      <c r="P20" s="69"/>
      <c r="Q20" s="69"/>
      <c r="R20" s="69"/>
      <c r="S20" s="69"/>
      <c r="T20" s="69"/>
      <c r="U20" s="69"/>
      <c r="V20" s="69"/>
      <c r="W20" s="69"/>
      <c r="X20" s="69"/>
      <c r="Y20" s="69"/>
      <c r="Z20" s="69"/>
      <c r="AA20" s="69"/>
      <c r="AB20" s="69"/>
      <c r="AC20" s="69"/>
      <c r="AD20" s="69"/>
      <c r="AE20" s="69"/>
      <c r="AF20" s="69"/>
      <c r="AG20" s="69"/>
      <c r="AH20" s="69"/>
      <c r="AI20" s="69"/>
      <c r="AJ20" s="69"/>
      <c r="AK20" s="69"/>
      <c r="AL20" s="69"/>
      <c r="AM20" s="69"/>
      <c r="AN20" s="69"/>
      <c r="AO20" s="69"/>
      <c r="AP20" s="69"/>
      <c r="AQ20" s="69"/>
      <c r="AR20" s="69"/>
      <c r="AS20" s="69"/>
      <c r="AT20" s="69"/>
      <c r="AU20" s="69"/>
      <c r="AV20" s="69"/>
      <c r="AW20" s="69"/>
      <c r="AX20" s="69"/>
      <c r="AY20" s="69"/>
      <c r="AZ20" s="69"/>
      <c r="BA20" s="69"/>
    </row>
    <row r="21" customFormat="false" ht="15" hidden="false" customHeight="false" outlineLevel="0" collapsed="false">
      <c r="A21" s="90" t="s">
        <v>129</v>
      </c>
      <c r="B21" s="69" t="s">
        <v>130</v>
      </c>
      <c r="C21" s="69"/>
      <c r="D21" s="69"/>
      <c r="E21" s="69"/>
      <c r="F21" s="69"/>
      <c r="G21" s="69"/>
      <c r="H21" s="69"/>
      <c r="I21" s="69"/>
      <c r="J21" s="69"/>
      <c r="K21" s="69"/>
      <c r="L21" s="69"/>
      <c r="M21" s="69"/>
      <c r="N21" s="69"/>
      <c r="O21" s="69"/>
      <c r="P21" s="69"/>
      <c r="Q21" s="69"/>
      <c r="R21" s="69"/>
      <c r="S21" s="69"/>
      <c r="T21" s="69"/>
      <c r="U21" s="69"/>
      <c r="V21" s="69"/>
      <c r="W21" s="69"/>
      <c r="X21" s="69"/>
      <c r="Y21" s="69"/>
      <c r="Z21" s="69"/>
      <c r="AA21" s="69"/>
      <c r="AB21" s="69"/>
      <c r="AC21" s="69"/>
      <c r="AD21" s="69"/>
      <c r="AE21" s="69"/>
      <c r="AF21" s="69"/>
      <c r="AG21" s="69"/>
      <c r="AH21" s="69"/>
      <c r="AI21" s="69"/>
      <c r="AJ21" s="69"/>
      <c r="AK21" s="69"/>
      <c r="AL21" s="69"/>
      <c r="AM21" s="69"/>
      <c r="AN21" s="69"/>
      <c r="AO21" s="69"/>
      <c r="AP21" s="69"/>
      <c r="AQ21" s="69"/>
      <c r="AR21" s="69"/>
      <c r="AS21" s="69"/>
      <c r="AT21" s="69"/>
      <c r="AU21" s="69"/>
      <c r="AV21" s="69"/>
      <c r="AW21" s="69"/>
      <c r="AX21" s="69"/>
      <c r="AY21" s="69"/>
      <c r="AZ21" s="69"/>
      <c r="BA21" s="69"/>
    </row>
    <row r="22" customFormat="false" ht="23.85" hidden="false" customHeight="false" outlineLevel="0" collapsed="false">
      <c r="A22" s="90" t="s">
        <v>131</v>
      </c>
      <c r="B22" s="69" t="s">
        <v>132</v>
      </c>
      <c r="C22" s="69"/>
      <c r="D22" s="69"/>
      <c r="E22" s="69"/>
      <c r="F22" s="69"/>
      <c r="G22" s="69"/>
      <c r="H22" s="69"/>
      <c r="I22" s="69"/>
      <c r="J22" s="69"/>
      <c r="K22" s="69"/>
      <c r="L22" s="69"/>
      <c r="M22" s="69"/>
      <c r="N22" s="69"/>
      <c r="O22" s="69"/>
      <c r="P22" s="69"/>
      <c r="Q22" s="69"/>
      <c r="R22" s="69"/>
      <c r="S22" s="69"/>
      <c r="T22" s="69"/>
      <c r="U22" s="69"/>
      <c r="V22" s="69"/>
      <c r="W22" s="69"/>
      <c r="X22" s="69"/>
      <c r="Y22" s="69"/>
      <c r="Z22" s="69"/>
      <c r="AA22" s="69"/>
      <c r="AB22" s="69"/>
      <c r="AC22" s="69"/>
      <c r="AD22" s="69"/>
      <c r="AE22" s="69"/>
      <c r="AF22" s="69"/>
      <c r="AG22" s="69"/>
      <c r="AH22" s="69"/>
      <c r="AI22" s="69"/>
      <c r="AJ22" s="69"/>
      <c r="AK22" s="69"/>
      <c r="AL22" s="69"/>
      <c r="AM22" s="69"/>
      <c r="AN22" s="69"/>
      <c r="AO22" s="69"/>
      <c r="AP22" s="69"/>
      <c r="AQ22" s="69"/>
      <c r="AR22" s="69"/>
      <c r="AS22" s="69"/>
      <c r="AT22" s="69"/>
      <c r="AU22" s="69"/>
      <c r="AV22" s="69"/>
      <c r="AW22" s="69"/>
      <c r="AX22" s="69"/>
      <c r="AY22" s="69"/>
      <c r="AZ22" s="69"/>
      <c r="BA22" s="69"/>
    </row>
    <row r="23" customFormat="false" ht="23.85" hidden="false" customHeight="false" outlineLevel="0" collapsed="false">
      <c r="A23" s="90" t="s">
        <v>133</v>
      </c>
      <c r="B23" s="69" t="s">
        <v>134</v>
      </c>
      <c r="C23" s="69"/>
      <c r="D23" s="69"/>
      <c r="E23" s="69"/>
      <c r="F23" s="69"/>
      <c r="G23" s="69"/>
      <c r="H23" s="69"/>
      <c r="I23" s="69"/>
      <c r="J23" s="69"/>
      <c r="K23" s="69"/>
      <c r="L23" s="69"/>
      <c r="M23" s="69"/>
      <c r="N23" s="69"/>
      <c r="O23" s="69"/>
      <c r="P23" s="69"/>
      <c r="Q23" s="69"/>
      <c r="R23" s="69"/>
      <c r="S23" s="69"/>
      <c r="T23" s="69"/>
      <c r="U23" s="69"/>
      <c r="V23" s="69"/>
      <c r="W23" s="69"/>
      <c r="X23" s="69"/>
      <c r="Y23" s="69"/>
      <c r="Z23" s="69"/>
      <c r="AA23" s="69"/>
      <c r="AB23" s="69"/>
      <c r="AC23" s="69"/>
      <c r="AD23" s="69"/>
      <c r="AE23" s="69"/>
      <c r="AF23" s="69"/>
      <c r="AG23" s="69"/>
      <c r="AH23" s="69"/>
      <c r="AI23" s="69"/>
      <c r="AJ23" s="69"/>
      <c r="AK23" s="69"/>
      <c r="AL23" s="69"/>
      <c r="AM23" s="69"/>
      <c r="AN23" s="69"/>
      <c r="AO23" s="69"/>
      <c r="AP23" s="69"/>
      <c r="AQ23" s="69"/>
      <c r="AR23" s="69"/>
      <c r="AS23" s="69"/>
      <c r="AT23" s="69"/>
      <c r="AU23" s="69"/>
      <c r="AV23" s="69"/>
      <c r="AW23" s="69"/>
      <c r="AX23" s="69"/>
      <c r="AY23" s="69"/>
      <c r="AZ23" s="69"/>
      <c r="BA23" s="69"/>
    </row>
    <row r="24" customFormat="false" ht="15" hidden="false" customHeight="false" outlineLevel="0" collapsed="false">
      <c r="A24" s="90" t="s">
        <v>135</v>
      </c>
      <c r="B24" s="69" t="s">
        <v>136</v>
      </c>
      <c r="C24" s="69"/>
      <c r="D24" s="69"/>
      <c r="E24" s="69"/>
      <c r="F24" s="69"/>
      <c r="G24" s="69"/>
      <c r="H24" s="69"/>
      <c r="I24" s="69"/>
      <c r="J24" s="69"/>
      <c r="K24" s="69"/>
      <c r="L24" s="69"/>
      <c r="M24" s="69"/>
      <c r="N24" s="69"/>
      <c r="O24" s="69"/>
      <c r="P24" s="69"/>
      <c r="Q24" s="69"/>
      <c r="R24" s="69"/>
      <c r="S24" s="69"/>
      <c r="T24" s="69"/>
      <c r="U24" s="69"/>
      <c r="V24" s="69"/>
      <c r="W24" s="69"/>
      <c r="X24" s="69"/>
      <c r="Y24" s="69"/>
      <c r="Z24" s="69"/>
      <c r="AA24" s="69"/>
      <c r="AB24" s="69"/>
      <c r="AC24" s="69"/>
      <c r="AD24" s="69"/>
      <c r="AE24" s="69"/>
      <c r="AF24" s="69"/>
      <c r="AG24" s="69"/>
      <c r="AH24" s="69"/>
      <c r="AI24" s="69"/>
      <c r="AJ24" s="69"/>
      <c r="AK24" s="69"/>
      <c r="AL24" s="69"/>
      <c r="AM24" s="69"/>
      <c r="AN24" s="69"/>
      <c r="AO24" s="69"/>
      <c r="AP24" s="69"/>
      <c r="AQ24" s="69"/>
      <c r="AR24" s="69"/>
      <c r="AS24" s="69"/>
      <c r="AT24" s="69"/>
      <c r="AU24" s="69"/>
      <c r="AV24" s="69"/>
      <c r="AW24" s="69"/>
      <c r="AX24" s="69"/>
      <c r="AY24" s="69"/>
      <c r="AZ24" s="69"/>
      <c r="BA24" s="69"/>
    </row>
    <row r="25" customFormat="false" ht="23.85" hidden="false" customHeight="false" outlineLevel="0" collapsed="false">
      <c r="A25" s="90" t="s">
        <v>137</v>
      </c>
      <c r="B25" s="69" t="s">
        <v>138</v>
      </c>
      <c r="C25" s="69"/>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c r="AG25" s="69"/>
      <c r="AH25" s="69"/>
      <c r="AI25" s="69"/>
      <c r="AJ25" s="69"/>
      <c r="AK25" s="69"/>
      <c r="AL25" s="69"/>
      <c r="AM25" s="69"/>
      <c r="AN25" s="69"/>
      <c r="AO25" s="69"/>
      <c r="AP25" s="69"/>
      <c r="AQ25" s="69"/>
      <c r="AR25" s="69"/>
      <c r="AS25" s="69"/>
      <c r="AT25" s="69"/>
      <c r="AU25" s="69"/>
      <c r="AV25" s="69"/>
      <c r="AW25" s="69"/>
      <c r="AX25" s="69"/>
      <c r="AY25" s="69"/>
      <c r="AZ25" s="69"/>
      <c r="BA25" s="69"/>
    </row>
    <row r="26" customFormat="false" ht="23.85" hidden="false" customHeight="false" outlineLevel="0" collapsed="false">
      <c r="A26" s="90" t="s">
        <v>139</v>
      </c>
      <c r="B26" s="69" t="s">
        <v>140</v>
      </c>
      <c r="C26" s="69"/>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c r="AG26" s="69"/>
      <c r="AH26" s="69"/>
      <c r="AI26" s="69"/>
      <c r="AJ26" s="69"/>
      <c r="AK26" s="69"/>
      <c r="AL26" s="69"/>
      <c r="AM26" s="69"/>
      <c r="AN26" s="69"/>
      <c r="AO26" s="69"/>
      <c r="AP26" s="69"/>
      <c r="AQ26" s="69"/>
      <c r="AR26" s="69"/>
      <c r="AS26" s="69"/>
      <c r="AT26" s="69"/>
      <c r="AU26" s="69"/>
      <c r="AV26" s="69"/>
      <c r="AW26" s="69"/>
      <c r="AX26" s="69"/>
      <c r="AY26" s="69"/>
      <c r="AZ26" s="69"/>
      <c r="BA26" s="69"/>
    </row>
    <row r="27" customFormat="false" ht="15" hidden="false" customHeight="false" outlineLevel="0" collapsed="false">
      <c r="A27" s="90" t="s">
        <v>141</v>
      </c>
      <c r="B27" s="69" t="s">
        <v>142</v>
      </c>
      <c r="C27" s="69"/>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c r="AG27" s="69"/>
      <c r="AH27" s="69"/>
      <c r="AI27" s="69"/>
      <c r="AJ27" s="69"/>
      <c r="AK27" s="69"/>
      <c r="AL27" s="69"/>
      <c r="AM27" s="69"/>
      <c r="AN27" s="69"/>
      <c r="AO27" s="69"/>
      <c r="AP27" s="69"/>
      <c r="AQ27" s="69"/>
      <c r="AR27" s="69"/>
      <c r="AS27" s="69"/>
      <c r="AT27" s="69"/>
      <c r="AU27" s="69"/>
      <c r="AV27" s="69"/>
      <c r="AW27" s="69"/>
      <c r="AX27" s="69"/>
      <c r="AY27" s="69"/>
      <c r="AZ27" s="69"/>
      <c r="BA27" s="69"/>
    </row>
    <row r="28" customFormat="false" ht="15" hidden="false" customHeight="false" outlineLevel="0" collapsed="false">
      <c r="A28" s="90" t="s">
        <v>143</v>
      </c>
      <c r="B28" s="69" t="s">
        <v>144</v>
      </c>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row>
    <row r="29" customFormat="false" ht="15" hidden="false" customHeight="false" outlineLevel="0" collapsed="false">
      <c r="A29" s="90" t="s">
        <v>145</v>
      </c>
      <c r="B29" s="69" t="s">
        <v>146</v>
      </c>
      <c r="C29" s="69"/>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c r="AG29" s="69"/>
      <c r="AH29" s="69"/>
      <c r="AI29" s="69"/>
      <c r="AJ29" s="69"/>
      <c r="AK29" s="69"/>
      <c r="AL29" s="69"/>
      <c r="AM29" s="69"/>
      <c r="AN29" s="69"/>
      <c r="AO29" s="69"/>
      <c r="AP29" s="69"/>
      <c r="AQ29" s="69"/>
      <c r="AR29" s="69"/>
      <c r="AS29" s="69"/>
      <c r="AT29" s="69"/>
      <c r="AU29" s="69"/>
      <c r="AV29" s="69"/>
      <c r="AW29" s="69"/>
      <c r="AX29" s="69"/>
      <c r="AY29" s="69"/>
      <c r="AZ29" s="69"/>
      <c r="BA29" s="69"/>
    </row>
    <row r="30" s="90" customFormat="true" ht="23.85" hidden="false" customHeight="false" outlineLevel="0" collapsed="false">
      <c r="A30" s="90" t="s">
        <v>147</v>
      </c>
      <c r="B30" s="92" t="s">
        <v>148</v>
      </c>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2"/>
      <c r="AR30" s="92"/>
      <c r="AS30" s="92"/>
      <c r="AT30" s="92"/>
      <c r="AU30" s="92"/>
      <c r="AV30" s="92"/>
      <c r="AW30" s="92"/>
      <c r="AX30" s="92"/>
      <c r="AY30" s="92"/>
      <c r="AZ30" s="92"/>
      <c r="BA30" s="92"/>
    </row>
    <row r="31" customFormat="false" ht="23.85" hidden="false" customHeight="false" outlineLevel="0" collapsed="false">
      <c r="A31" s="90" t="s">
        <v>149</v>
      </c>
      <c r="B31" s="69"/>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c r="AG31" s="69"/>
      <c r="AH31" s="69"/>
      <c r="AI31" s="69"/>
      <c r="AJ31" s="69"/>
      <c r="AK31" s="69"/>
      <c r="AL31" s="69"/>
      <c r="AM31" s="69"/>
      <c r="AN31" s="69"/>
      <c r="AO31" s="69"/>
      <c r="AP31" s="69"/>
      <c r="AQ31" s="69"/>
      <c r="AR31" s="69"/>
      <c r="AS31" s="69"/>
      <c r="AT31" s="69"/>
      <c r="AU31" s="69"/>
      <c r="AV31" s="69"/>
      <c r="AW31" s="69"/>
      <c r="AX31" s="69"/>
      <c r="AY31" s="69"/>
      <c r="AZ31" s="69"/>
      <c r="BA31" s="69"/>
    </row>
    <row r="32" customFormat="false" ht="15" hidden="false" customHeight="false" outlineLevel="0" collapsed="false">
      <c r="B32" s="69"/>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c r="AG32" s="69"/>
      <c r="AH32" s="69"/>
      <c r="AI32" s="69"/>
      <c r="AJ32" s="69"/>
      <c r="AK32" s="69"/>
      <c r="AL32" s="69"/>
      <c r="AM32" s="69"/>
      <c r="AN32" s="69"/>
      <c r="AO32" s="69"/>
      <c r="AP32" s="69"/>
      <c r="AQ32" s="69"/>
      <c r="AR32" s="69"/>
      <c r="AS32" s="69"/>
      <c r="AT32" s="69"/>
      <c r="AU32" s="69"/>
      <c r="AV32" s="69"/>
      <c r="AW32" s="69"/>
      <c r="AX32" s="69"/>
      <c r="AY32" s="69"/>
      <c r="AZ32" s="69"/>
      <c r="BA32" s="69"/>
    </row>
    <row r="33" customFormat="false" ht="15" hidden="false" customHeight="false" outlineLevel="0" collapsed="false">
      <c r="B33" s="69"/>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c r="AG33" s="69"/>
      <c r="AH33" s="69"/>
      <c r="AI33" s="69"/>
      <c r="AJ33" s="69"/>
      <c r="AK33" s="69"/>
      <c r="AL33" s="69"/>
      <c r="AM33" s="69"/>
      <c r="AN33" s="69"/>
      <c r="AO33" s="69"/>
      <c r="AP33" s="69"/>
      <c r="AQ33" s="69"/>
      <c r="AR33" s="69"/>
      <c r="AS33" s="69"/>
      <c r="AT33" s="69"/>
      <c r="AU33" s="69"/>
      <c r="AV33" s="69"/>
      <c r="AW33" s="69"/>
      <c r="AX33" s="69"/>
      <c r="AY33" s="69"/>
      <c r="AZ33" s="69"/>
      <c r="BA33" s="69"/>
    </row>
    <row r="34" customFormat="false" ht="15" hidden="false" customHeight="false" outlineLevel="0" collapsed="false">
      <c r="B34" s="69"/>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c r="AG34" s="69"/>
      <c r="AH34" s="69"/>
      <c r="AI34" s="69"/>
      <c r="AJ34" s="69"/>
      <c r="AK34" s="69"/>
      <c r="AL34" s="69"/>
      <c r="AM34" s="69"/>
      <c r="AN34" s="69"/>
      <c r="AO34" s="69"/>
      <c r="AP34" s="69"/>
      <c r="AQ34" s="69"/>
      <c r="AR34" s="69"/>
      <c r="AS34" s="69"/>
      <c r="AT34" s="69"/>
      <c r="AU34" s="69"/>
      <c r="AV34" s="69"/>
      <c r="AW34" s="69"/>
      <c r="AX34" s="69"/>
      <c r="AY34" s="69"/>
      <c r="AZ34" s="69"/>
      <c r="BA34" s="69"/>
    </row>
    <row r="35" customFormat="false" ht="15" hidden="false" customHeight="false" outlineLevel="0" collapsed="false">
      <c r="B35" s="69"/>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row>
    <row r="36" customFormat="false" ht="15" hidden="false" customHeight="false" outlineLevel="0" collapsed="false">
      <c r="B36" s="69"/>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row>
    <row r="37" customFormat="false" ht="15" hidden="false" customHeight="false" outlineLevel="0" collapsed="false">
      <c r="B37" s="69"/>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c r="AG37" s="69"/>
      <c r="AH37" s="69"/>
      <c r="AI37" s="69"/>
      <c r="AJ37" s="69"/>
      <c r="AK37" s="69"/>
      <c r="AL37" s="69"/>
      <c r="AM37" s="69"/>
      <c r="AN37" s="69"/>
      <c r="AO37" s="69"/>
      <c r="AP37" s="69"/>
      <c r="AQ37" s="69"/>
      <c r="AR37" s="69"/>
      <c r="AS37" s="69"/>
      <c r="AT37" s="69"/>
      <c r="AU37" s="69"/>
      <c r="AV37" s="69"/>
      <c r="AW37" s="69"/>
      <c r="AX37" s="69"/>
      <c r="AY37" s="69"/>
      <c r="AZ37" s="69"/>
      <c r="BA37" s="69"/>
    </row>
    <row r="38" customFormat="false" ht="15" hidden="false" customHeight="false" outlineLevel="0" collapsed="false">
      <c r="B38" s="69"/>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c r="AG38" s="69"/>
      <c r="AH38" s="69"/>
      <c r="AI38" s="69"/>
      <c r="AJ38" s="69"/>
      <c r="AK38" s="69"/>
      <c r="AL38" s="69"/>
      <c r="AM38" s="69"/>
      <c r="AN38" s="69"/>
      <c r="AO38" s="69"/>
      <c r="AP38" s="69"/>
      <c r="AQ38" s="69"/>
      <c r="AR38" s="69"/>
      <c r="AS38" s="69"/>
      <c r="AT38" s="69"/>
      <c r="AU38" s="69"/>
      <c r="AV38" s="69"/>
      <c r="AW38" s="69"/>
      <c r="AX38" s="69"/>
      <c r="AY38" s="69"/>
      <c r="AZ38" s="69"/>
      <c r="BA38" s="69"/>
    </row>
    <row r="39" customFormat="false" ht="15" hidden="false" customHeight="false" outlineLevel="0" collapsed="false">
      <c r="B39" s="69"/>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c r="AG39" s="69"/>
      <c r="AH39" s="69"/>
      <c r="AI39" s="69"/>
      <c r="AJ39" s="69"/>
      <c r="AK39" s="69"/>
      <c r="AL39" s="69"/>
      <c r="AM39" s="69"/>
      <c r="AN39" s="69"/>
      <c r="AO39" s="69"/>
      <c r="AP39" s="69"/>
      <c r="AQ39" s="69"/>
      <c r="AR39" s="69"/>
      <c r="AS39" s="69"/>
      <c r="AT39" s="69"/>
      <c r="AU39" s="69"/>
      <c r="AV39" s="69"/>
      <c r="AW39" s="69"/>
      <c r="AX39" s="69"/>
      <c r="AY39" s="69"/>
      <c r="AZ39" s="69"/>
      <c r="BA39" s="69"/>
    </row>
    <row r="40" customFormat="false" ht="15" hidden="false" customHeight="false" outlineLevel="0" collapsed="false">
      <c r="B40" s="69"/>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c r="AG40" s="69"/>
      <c r="AH40" s="69"/>
      <c r="AI40" s="69"/>
      <c r="AJ40" s="69"/>
      <c r="AK40" s="69"/>
      <c r="AL40" s="69"/>
      <c r="AM40" s="69"/>
      <c r="AN40" s="69"/>
      <c r="AO40" s="69"/>
      <c r="AP40" s="69"/>
      <c r="AQ40" s="69"/>
      <c r="AR40" s="69"/>
      <c r="AS40" s="69"/>
      <c r="AT40" s="69"/>
      <c r="AU40" s="69"/>
      <c r="AV40" s="69"/>
      <c r="AW40" s="69"/>
      <c r="AX40" s="69"/>
      <c r="AY40" s="69"/>
      <c r="AZ40" s="69"/>
      <c r="BA40" s="69"/>
    </row>
    <row r="41" customFormat="false" ht="15" hidden="false" customHeight="false" outlineLevel="0" collapsed="false">
      <c r="B41" s="69"/>
      <c r="C41" s="69"/>
      <c r="D41" s="69"/>
      <c r="E41" s="69"/>
      <c r="F41" s="69"/>
      <c r="G41" s="69"/>
      <c r="H41" s="69"/>
      <c r="I41" s="69"/>
      <c r="J41" s="69"/>
      <c r="K41" s="69"/>
      <c r="L41" s="69"/>
      <c r="M41" s="69"/>
      <c r="N41" s="69"/>
      <c r="O41" s="69"/>
      <c r="P41" s="69"/>
      <c r="Q41" s="69"/>
      <c r="R41" s="69"/>
      <c r="S41" s="69"/>
      <c r="T41" s="69"/>
      <c r="U41" s="69"/>
      <c r="V41" s="69"/>
      <c r="W41" s="69"/>
      <c r="X41" s="69"/>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row>
    <row r="42" customFormat="false" ht="15" hidden="false" customHeight="false" outlineLevel="0" collapsed="false">
      <c r="B42" s="69"/>
      <c r="C42" s="69"/>
      <c r="D42" s="69"/>
      <c r="E42" s="69"/>
      <c r="F42" s="69"/>
      <c r="G42" s="69"/>
      <c r="H42" s="69"/>
      <c r="I42" s="69"/>
      <c r="J42" s="69"/>
      <c r="K42" s="69"/>
      <c r="L42" s="69"/>
      <c r="M42" s="69"/>
      <c r="N42" s="69"/>
      <c r="O42" s="69"/>
      <c r="P42" s="69"/>
      <c r="Q42" s="69"/>
      <c r="R42" s="69"/>
      <c r="S42" s="69"/>
      <c r="T42" s="69"/>
      <c r="U42" s="69"/>
      <c r="V42" s="69"/>
      <c r="W42" s="69"/>
      <c r="X42" s="69"/>
      <c r="Y42" s="69"/>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row>
    <row r="43" customFormat="false" ht="15" hidden="false" customHeight="false" outlineLevel="0" collapsed="false">
      <c r="B43" s="69"/>
      <c r="C43" s="69"/>
      <c r="D43" s="69"/>
      <c r="E43" s="69"/>
      <c r="F43" s="69"/>
      <c r="G43" s="69"/>
      <c r="H43" s="69"/>
      <c r="I43" s="69"/>
      <c r="J43" s="69"/>
      <c r="K43" s="69"/>
      <c r="L43" s="69"/>
      <c r="M43" s="69"/>
      <c r="N43" s="69"/>
      <c r="O43" s="69"/>
      <c r="P43" s="69"/>
      <c r="Q43" s="69"/>
      <c r="R43" s="69"/>
      <c r="S43" s="69"/>
      <c r="T43" s="69"/>
      <c r="U43" s="69"/>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row>
    <row r="44" customFormat="false" ht="15" hidden="false" customHeight="false" outlineLevel="0" collapsed="false">
      <c r="B44" s="69"/>
      <c r="C44" s="69"/>
      <c r="D44" s="69"/>
      <c r="E44" s="69"/>
      <c r="F44" s="69"/>
      <c r="G44" s="69"/>
      <c r="H44" s="69"/>
      <c r="I44" s="69"/>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69"/>
      <c r="AQ44" s="69"/>
      <c r="AR44" s="69"/>
      <c r="AS44" s="69"/>
      <c r="AT44" s="69"/>
      <c r="AU44" s="69"/>
      <c r="AV44" s="69"/>
      <c r="AW44" s="69"/>
      <c r="AX44" s="69"/>
      <c r="AY44" s="69"/>
      <c r="AZ44" s="69"/>
      <c r="BA44" s="69"/>
    </row>
    <row r="45" customFormat="false" ht="15" hidden="false" customHeight="false" outlineLevel="0" collapsed="false">
      <c r="B45" s="69"/>
      <c r="C45" s="69"/>
      <c r="D45" s="69"/>
      <c r="E45" s="69"/>
      <c r="F45" s="69"/>
      <c r="G45" s="69"/>
      <c r="H45" s="69"/>
      <c r="I45" s="69"/>
      <c r="J45" s="69"/>
      <c r="K45" s="69"/>
      <c r="L45" s="69"/>
      <c r="M45" s="69"/>
      <c r="N45" s="69"/>
      <c r="O45" s="69"/>
      <c r="P45" s="69"/>
      <c r="Q45" s="69"/>
      <c r="R45" s="69"/>
      <c r="S45" s="69"/>
      <c r="T45" s="69"/>
      <c r="U45" s="69"/>
      <c r="V45" s="69"/>
      <c r="W45" s="69"/>
      <c r="X45" s="69"/>
      <c r="Y45" s="69"/>
      <c r="Z45" s="69"/>
      <c r="AA45" s="69"/>
      <c r="AB45" s="69"/>
      <c r="AC45" s="69"/>
      <c r="AD45" s="69"/>
      <c r="AE45" s="69"/>
      <c r="AF45" s="69"/>
      <c r="AG45" s="69"/>
      <c r="AH45" s="69"/>
      <c r="AI45" s="69"/>
      <c r="AJ45" s="69"/>
      <c r="AK45" s="69"/>
      <c r="AL45" s="69"/>
      <c r="AM45" s="69"/>
      <c r="AN45" s="69"/>
      <c r="AO45" s="69"/>
      <c r="AP45" s="69"/>
      <c r="AQ45" s="69"/>
      <c r="AR45" s="69"/>
      <c r="AS45" s="69"/>
      <c r="AT45" s="69"/>
      <c r="AU45" s="69"/>
      <c r="AV45" s="69"/>
      <c r="AW45" s="69"/>
      <c r="AX45" s="69"/>
      <c r="AY45" s="69"/>
      <c r="AZ45" s="69"/>
      <c r="BA45" s="69"/>
    </row>
    <row r="46" customFormat="false" ht="15" hidden="false" customHeight="false" outlineLevel="0" collapsed="false">
      <c r="B46" s="69"/>
      <c r="C46" s="69"/>
      <c r="D46" s="69"/>
      <c r="E46" s="69"/>
      <c r="F46" s="69"/>
      <c r="G46" s="69"/>
      <c r="H46" s="69"/>
      <c r="I46" s="69"/>
      <c r="J46" s="69"/>
      <c r="K46" s="69"/>
      <c r="L46" s="69"/>
      <c r="M46" s="69"/>
      <c r="N46" s="69"/>
      <c r="O46" s="69"/>
      <c r="P46" s="69"/>
      <c r="Q46" s="69"/>
      <c r="R46" s="69"/>
      <c r="S46" s="69"/>
      <c r="T46" s="69"/>
      <c r="U46" s="69"/>
      <c r="V46" s="69"/>
      <c r="W46" s="69"/>
      <c r="X46" s="69"/>
      <c r="Y46" s="69"/>
      <c r="Z46" s="69"/>
      <c r="AA46" s="69"/>
      <c r="AB46" s="69"/>
      <c r="AC46" s="69"/>
      <c r="AD46" s="69"/>
      <c r="AE46" s="69"/>
      <c r="AF46" s="69"/>
      <c r="AG46" s="69"/>
      <c r="AH46" s="69"/>
      <c r="AI46" s="69"/>
      <c r="AJ46" s="69"/>
      <c r="AK46" s="69"/>
      <c r="AL46" s="69"/>
      <c r="AM46" s="69"/>
      <c r="AN46" s="69"/>
      <c r="AO46" s="69"/>
      <c r="AP46" s="69"/>
      <c r="AQ46" s="69"/>
      <c r="AR46" s="69"/>
      <c r="AS46" s="69"/>
      <c r="AT46" s="69"/>
      <c r="AU46" s="69"/>
      <c r="AV46" s="69"/>
      <c r="AW46" s="69"/>
      <c r="AX46" s="69"/>
      <c r="AY46" s="69"/>
      <c r="AZ46" s="69"/>
      <c r="BA46" s="69"/>
    </row>
    <row r="47" customFormat="false" ht="15" hidden="false" customHeight="false" outlineLevel="0" collapsed="false">
      <c r="B47" s="69"/>
      <c r="C47" s="69"/>
      <c r="D47" s="69"/>
      <c r="E47" s="69"/>
      <c r="F47" s="69"/>
      <c r="G47" s="69"/>
      <c r="H47" s="69"/>
      <c r="I47" s="69"/>
      <c r="J47" s="69"/>
      <c r="K47" s="69"/>
      <c r="L47" s="69"/>
      <c r="M47" s="69"/>
      <c r="N47" s="69"/>
      <c r="O47" s="69"/>
      <c r="P47" s="69"/>
      <c r="Q47" s="69"/>
      <c r="R47" s="69"/>
      <c r="S47" s="69"/>
      <c r="T47" s="69"/>
      <c r="U47" s="69"/>
      <c r="V47" s="69"/>
      <c r="W47" s="69"/>
      <c r="X47" s="69"/>
      <c r="Y47" s="69"/>
      <c r="Z47" s="69"/>
      <c r="AA47" s="69"/>
      <c r="AB47" s="69"/>
      <c r="AC47" s="69"/>
      <c r="AD47" s="69"/>
      <c r="AE47" s="69"/>
      <c r="AF47" s="69"/>
      <c r="AG47" s="69"/>
      <c r="AH47" s="69"/>
      <c r="AI47" s="69"/>
      <c r="AJ47" s="69"/>
      <c r="AK47" s="69"/>
      <c r="AL47" s="69"/>
      <c r="AM47" s="69"/>
      <c r="AN47" s="69"/>
      <c r="AO47" s="69"/>
      <c r="AP47" s="69"/>
      <c r="AQ47" s="69"/>
      <c r="AR47" s="69"/>
      <c r="AS47" s="69"/>
      <c r="AT47" s="69"/>
      <c r="AU47" s="69"/>
      <c r="AV47" s="69"/>
      <c r="AW47" s="69"/>
      <c r="AX47" s="69"/>
      <c r="AY47" s="69"/>
      <c r="AZ47" s="69"/>
      <c r="BA47" s="69"/>
    </row>
    <row r="48" customFormat="false" ht="15" hidden="false" customHeight="false" outlineLevel="0" collapsed="false">
      <c r="B48" s="69"/>
      <c r="C48" s="69"/>
      <c r="D48" s="69"/>
      <c r="E48" s="69"/>
      <c r="F48" s="69"/>
      <c r="G48" s="69"/>
      <c r="H48" s="69"/>
      <c r="I48" s="69"/>
      <c r="J48" s="69"/>
      <c r="K48" s="69"/>
      <c r="L48" s="69"/>
      <c r="M48" s="69"/>
      <c r="N48" s="69"/>
      <c r="O48" s="69"/>
      <c r="P48" s="69"/>
      <c r="Q48" s="69"/>
      <c r="R48" s="69"/>
      <c r="S48" s="69"/>
      <c r="T48" s="69"/>
      <c r="U48" s="69"/>
      <c r="V48" s="69"/>
      <c r="W48" s="69"/>
      <c r="X48" s="69"/>
      <c r="Y48" s="69"/>
      <c r="Z48" s="69"/>
      <c r="AA48" s="69"/>
      <c r="AB48" s="69"/>
      <c r="AC48" s="69"/>
      <c r="AD48" s="69"/>
      <c r="AE48" s="69"/>
      <c r="AF48" s="69"/>
      <c r="AG48" s="69"/>
      <c r="AH48" s="69"/>
      <c r="AI48" s="69"/>
      <c r="AJ48" s="69"/>
      <c r="AK48" s="69"/>
      <c r="AL48" s="69"/>
      <c r="AM48" s="69"/>
      <c r="AN48" s="69"/>
      <c r="AO48" s="69"/>
      <c r="AP48" s="69"/>
      <c r="AQ48" s="69"/>
      <c r="AR48" s="69"/>
      <c r="AS48" s="69"/>
      <c r="AT48" s="69"/>
      <c r="AU48" s="69"/>
      <c r="AV48" s="69"/>
      <c r="AW48" s="69"/>
      <c r="AX48" s="69"/>
      <c r="AY48" s="69"/>
      <c r="AZ48" s="69"/>
      <c r="BA48" s="69"/>
    </row>
    <row r="49" customFormat="false" ht="15" hidden="false" customHeight="false" outlineLevel="0" collapsed="false">
      <c r="B49" s="69"/>
      <c r="C49" s="69"/>
      <c r="D49" s="69"/>
      <c r="E49" s="69"/>
      <c r="F49" s="69"/>
      <c r="G49" s="69"/>
      <c r="H49" s="69"/>
      <c r="I49" s="69"/>
      <c r="J49" s="69"/>
      <c r="K49" s="69"/>
      <c r="L49" s="69"/>
      <c r="M49" s="69"/>
      <c r="N49" s="69"/>
      <c r="O49" s="69"/>
      <c r="P49" s="69"/>
      <c r="Q49" s="69"/>
      <c r="R49" s="69"/>
      <c r="S49" s="69"/>
      <c r="T49" s="69"/>
      <c r="U49" s="69"/>
      <c r="V49" s="69"/>
      <c r="W49" s="69"/>
      <c r="X49" s="69"/>
      <c r="Y49" s="69"/>
      <c r="Z49" s="69"/>
      <c r="AA49" s="69"/>
      <c r="AB49" s="69"/>
      <c r="AC49" s="69"/>
      <c r="AD49" s="69"/>
      <c r="AE49" s="69"/>
      <c r="AF49" s="69"/>
      <c r="AG49" s="69"/>
      <c r="AH49" s="69"/>
      <c r="AI49" s="69"/>
      <c r="AJ49" s="69"/>
      <c r="AK49" s="69"/>
      <c r="AL49" s="69"/>
      <c r="AM49" s="69"/>
      <c r="AN49" s="69"/>
      <c r="AO49" s="69"/>
      <c r="AP49" s="69"/>
      <c r="AQ49" s="69"/>
      <c r="AR49" s="69"/>
      <c r="AS49" s="69"/>
      <c r="AT49" s="69"/>
      <c r="AU49" s="69"/>
      <c r="AV49" s="69"/>
      <c r="AW49" s="69"/>
      <c r="AX49" s="69"/>
      <c r="AY49" s="69"/>
      <c r="AZ49" s="69"/>
      <c r="BA49" s="69"/>
    </row>
    <row r="50" customFormat="false" ht="15" hidden="false" customHeight="false" outlineLevel="0" collapsed="false">
      <c r="B50" s="69"/>
      <c r="C50" s="69"/>
      <c r="D50" s="69"/>
      <c r="E50" s="69"/>
      <c r="F50" s="69"/>
      <c r="G50" s="69"/>
      <c r="H50" s="69"/>
      <c r="I50" s="69"/>
      <c r="J50" s="69"/>
      <c r="K50" s="69"/>
      <c r="L50" s="69"/>
      <c r="M50" s="69"/>
      <c r="N50" s="69"/>
      <c r="O50" s="69"/>
      <c r="P50" s="69"/>
      <c r="Q50" s="69"/>
      <c r="R50" s="69"/>
      <c r="S50" s="69"/>
      <c r="T50" s="69"/>
      <c r="U50" s="69"/>
      <c r="V50" s="69"/>
      <c r="W50" s="69"/>
      <c r="X50" s="69"/>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row>
    <row r="51" customFormat="false" ht="15" hidden="false" customHeight="false" outlineLevel="0" collapsed="false">
      <c r="B51" s="69"/>
      <c r="C51" s="69"/>
      <c r="D51" s="69"/>
      <c r="E51" s="69"/>
      <c r="F51" s="69"/>
      <c r="G51" s="69"/>
      <c r="H51" s="69"/>
      <c r="I51" s="69"/>
      <c r="J51" s="69"/>
      <c r="K51" s="69"/>
      <c r="L51" s="69"/>
      <c r="M51" s="69"/>
      <c r="N51" s="69"/>
      <c r="O51" s="69"/>
      <c r="P51" s="69"/>
      <c r="Q51" s="69"/>
      <c r="R51" s="69"/>
      <c r="S51" s="69"/>
      <c r="T51" s="69"/>
      <c r="U51" s="69"/>
      <c r="V51" s="69"/>
      <c r="W51" s="69"/>
      <c r="X51" s="69"/>
      <c r="Y51" s="69"/>
      <c r="Z51" s="69"/>
      <c r="AA51" s="69"/>
      <c r="AB51" s="69"/>
      <c r="AC51" s="69"/>
      <c r="AD51" s="69"/>
      <c r="AE51" s="69"/>
      <c r="AF51" s="69"/>
      <c r="AG51" s="69"/>
      <c r="AH51" s="69"/>
      <c r="AI51" s="69"/>
      <c r="AJ51" s="69"/>
      <c r="AK51" s="69"/>
      <c r="AL51" s="69"/>
      <c r="AM51" s="69"/>
      <c r="AN51" s="69"/>
      <c r="AO51" s="69"/>
      <c r="AP51" s="69"/>
      <c r="AQ51" s="69"/>
      <c r="AR51" s="69"/>
      <c r="AS51" s="69"/>
      <c r="AT51" s="69"/>
      <c r="AU51" s="69"/>
      <c r="AV51" s="69"/>
      <c r="AW51" s="69"/>
      <c r="AX51" s="69"/>
      <c r="AY51" s="69"/>
      <c r="AZ51" s="69"/>
      <c r="BA51" s="69"/>
    </row>
    <row r="52" customFormat="false" ht="15" hidden="false" customHeight="false" outlineLevel="0" collapsed="false">
      <c r="B52" s="69"/>
      <c r="C52" s="69"/>
      <c r="D52" s="69"/>
      <c r="E52" s="69"/>
      <c r="F52" s="69"/>
      <c r="G52" s="69"/>
      <c r="H52" s="69"/>
      <c r="I52" s="69"/>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69"/>
      <c r="AL52" s="69"/>
      <c r="AM52" s="69"/>
      <c r="AN52" s="69"/>
      <c r="AO52" s="69"/>
      <c r="AP52" s="69"/>
      <c r="AQ52" s="69"/>
      <c r="AR52" s="69"/>
      <c r="AS52" s="69"/>
      <c r="AT52" s="69"/>
      <c r="AU52" s="69"/>
      <c r="AV52" s="69"/>
      <c r="AW52" s="69"/>
      <c r="AX52" s="69"/>
      <c r="AY52" s="69"/>
      <c r="AZ52" s="69"/>
      <c r="BA52" s="69"/>
    </row>
    <row r="53" customFormat="false" ht="15" hidden="false" customHeight="false" outlineLevel="0" collapsed="false">
      <c r="B53" s="69"/>
      <c r="C53" s="69"/>
      <c r="D53" s="69"/>
      <c r="E53" s="69"/>
      <c r="F53" s="69"/>
      <c r="G53" s="69"/>
      <c r="H53" s="69"/>
      <c r="I53" s="69"/>
      <c r="J53" s="69"/>
      <c r="K53" s="69"/>
      <c r="L53" s="69"/>
      <c r="M53" s="69"/>
      <c r="N53" s="69"/>
      <c r="O53" s="69"/>
      <c r="P53" s="69"/>
      <c r="Q53" s="69"/>
      <c r="R53" s="69"/>
      <c r="S53" s="69"/>
      <c r="T53" s="69"/>
      <c r="U53" s="69"/>
      <c r="V53" s="69"/>
      <c r="W53" s="69"/>
      <c r="X53" s="69"/>
      <c r="Y53" s="69"/>
      <c r="Z53" s="69"/>
      <c r="AA53" s="69"/>
      <c r="AB53" s="69"/>
      <c r="AC53" s="69"/>
      <c r="AD53" s="69"/>
      <c r="AE53" s="69"/>
      <c r="AF53" s="69"/>
      <c r="AG53" s="69"/>
      <c r="AH53" s="69"/>
      <c r="AI53" s="69"/>
      <c r="AJ53" s="69"/>
      <c r="AK53" s="69"/>
      <c r="AL53" s="69"/>
      <c r="AM53" s="69"/>
      <c r="AN53" s="69"/>
      <c r="AO53" s="69"/>
      <c r="AP53" s="69"/>
      <c r="AQ53" s="69"/>
      <c r="AR53" s="69"/>
      <c r="AS53" s="69"/>
      <c r="AT53" s="69"/>
      <c r="AU53" s="69"/>
      <c r="AV53" s="69"/>
      <c r="AW53" s="69"/>
      <c r="AX53" s="69"/>
      <c r="AY53" s="69"/>
      <c r="AZ53" s="69"/>
      <c r="BA53" s="69"/>
    </row>
    <row r="54" customFormat="false" ht="15" hidden="false" customHeight="false" outlineLevel="0" collapsed="false">
      <c r="B54" s="69"/>
      <c r="C54" s="69"/>
      <c r="D54" s="69"/>
      <c r="E54" s="69"/>
      <c r="F54" s="69"/>
      <c r="G54" s="69"/>
      <c r="H54" s="69"/>
      <c r="I54" s="69"/>
      <c r="J54" s="69"/>
      <c r="K54" s="69"/>
      <c r="L54" s="69"/>
      <c r="M54" s="69"/>
      <c r="N54" s="69"/>
      <c r="O54" s="69"/>
      <c r="P54" s="69"/>
      <c r="Q54" s="69"/>
      <c r="R54" s="69"/>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69"/>
      <c r="AU54" s="69"/>
      <c r="AV54" s="69"/>
      <c r="AW54" s="69"/>
      <c r="AX54" s="69"/>
      <c r="AY54" s="69"/>
      <c r="AZ54" s="69"/>
      <c r="BA54" s="69"/>
    </row>
    <row r="55" customFormat="false" ht="15" hidden="false" customHeight="false" outlineLevel="0" collapsed="false">
      <c r="B55" s="69"/>
      <c r="C55" s="69"/>
      <c r="D55" s="69"/>
      <c r="E55" s="69"/>
      <c r="F55" s="69"/>
      <c r="G55" s="69"/>
      <c r="H55" s="69"/>
      <c r="I55" s="6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row>
    <row r="56" customFormat="false" ht="15" hidden="false" customHeight="false" outlineLevel="0" collapsed="false">
      <c r="B56" s="69"/>
      <c r="C56" s="69"/>
      <c r="D56" s="69"/>
      <c r="E56" s="69"/>
      <c r="F56" s="69"/>
      <c r="G56" s="69"/>
      <c r="H56" s="69"/>
      <c r="I56" s="69"/>
      <c r="J56" s="69"/>
      <c r="K56" s="69"/>
      <c r="L56" s="69"/>
      <c r="M56" s="69"/>
      <c r="N56" s="69"/>
      <c r="O56" s="69"/>
      <c r="P56" s="69"/>
      <c r="Q56" s="69"/>
      <c r="R56" s="69"/>
      <c r="S56" s="69"/>
      <c r="T56" s="69"/>
      <c r="U56" s="69"/>
      <c r="V56" s="69"/>
      <c r="W56" s="69"/>
      <c r="X56" s="69"/>
      <c r="Y56" s="69"/>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row>
    <row r="57" customFormat="false" ht="15" hidden="false" customHeight="false" outlineLevel="0" collapsed="false">
      <c r="B57" s="69"/>
      <c r="C57" s="69"/>
      <c r="D57" s="69"/>
      <c r="E57" s="69"/>
      <c r="F57" s="69"/>
      <c r="G57" s="69"/>
      <c r="H57" s="69"/>
      <c r="I57" s="69"/>
      <c r="J57" s="69"/>
      <c r="K57" s="69"/>
      <c r="L57" s="69"/>
      <c r="M57" s="69"/>
      <c r="N57" s="69"/>
      <c r="O57" s="69"/>
      <c r="P57" s="69"/>
      <c r="Q57" s="69"/>
      <c r="R57" s="69"/>
      <c r="S57" s="69"/>
      <c r="T57" s="69"/>
      <c r="U57" s="69"/>
      <c r="V57" s="69"/>
      <c r="W57" s="69"/>
      <c r="X57" s="69"/>
      <c r="Y57" s="69"/>
      <c r="Z57" s="69"/>
      <c r="AA57" s="69"/>
      <c r="AB57" s="69"/>
      <c r="AC57" s="69"/>
      <c r="AD57" s="69"/>
      <c r="AE57" s="69"/>
      <c r="AF57" s="69"/>
      <c r="AG57" s="69"/>
      <c r="AH57" s="69"/>
      <c r="AI57" s="69"/>
      <c r="AJ57" s="69"/>
      <c r="AK57" s="69"/>
      <c r="AL57" s="69"/>
      <c r="AM57" s="69"/>
      <c r="AN57" s="69"/>
      <c r="AO57" s="69"/>
      <c r="AP57" s="69"/>
      <c r="AQ57" s="69"/>
      <c r="AR57" s="69"/>
      <c r="AS57" s="69"/>
      <c r="AT57" s="69"/>
      <c r="AU57" s="69"/>
      <c r="AV57" s="69"/>
      <c r="AW57" s="69"/>
      <c r="AX57" s="69"/>
      <c r="AY57" s="69"/>
      <c r="AZ57" s="69"/>
      <c r="BA57" s="69"/>
    </row>
    <row r="58" customFormat="false" ht="15" hidden="false" customHeight="false" outlineLevel="0" collapsed="false">
      <c r="B58" s="69"/>
      <c r="C58" s="69"/>
      <c r="D58" s="69"/>
      <c r="E58" s="69"/>
      <c r="F58" s="69"/>
      <c r="G58" s="69"/>
      <c r="H58" s="69"/>
      <c r="I58" s="69"/>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row>
    <row r="59" customFormat="false" ht="15" hidden="false" customHeight="false" outlineLevel="0" collapsed="false">
      <c r="B59" s="69"/>
      <c r="C59" s="69"/>
      <c r="D59" s="69"/>
      <c r="E59" s="69"/>
      <c r="F59" s="69"/>
      <c r="G59" s="69"/>
      <c r="H59" s="69"/>
      <c r="I59" s="69"/>
      <c r="J59" s="69"/>
      <c r="K59" s="69"/>
      <c r="L59" s="69"/>
      <c r="M59" s="69"/>
      <c r="N59" s="69"/>
      <c r="O59" s="69"/>
      <c r="P59" s="69"/>
      <c r="Q59" s="69"/>
      <c r="R59" s="69"/>
      <c r="S59" s="69"/>
      <c r="T59" s="69"/>
      <c r="U59" s="69"/>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row>
    <row r="60" customFormat="false" ht="15" hidden="false" customHeight="false" outlineLevel="0" collapsed="false">
      <c r="B60" s="69"/>
      <c r="C60" s="69"/>
      <c r="D60" s="69"/>
      <c r="E60" s="69"/>
      <c r="F60" s="69"/>
      <c r="G60" s="69"/>
      <c r="H60" s="69"/>
      <c r="I60" s="69"/>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row>
    <row r="61" customFormat="false" ht="15" hidden="false" customHeight="false" outlineLevel="0" collapsed="false">
      <c r="B61" s="69"/>
      <c r="C61" s="69"/>
      <c r="D61" s="69"/>
      <c r="E61" s="69"/>
      <c r="F61" s="69"/>
      <c r="G61" s="69"/>
      <c r="H61" s="69"/>
      <c r="I61" s="69"/>
      <c r="J61" s="69"/>
      <c r="K61" s="69"/>
      <c r="L61" s="69"/>
      <c r="M61" s="69"/>
      <c r="N61" s="69"/>
      <c r="O61" s="69"/>
      <c r="P61" s="69"/>
      <c r="Q61" s="69"/>
      <c r="R61" s="69"/>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row>
    <row r="62" customFormat="false" ht="15" hidden="false" customHeight="false" outlineLevel="0" collapsed="false">
      <c r="B62" s="69"/>
      <c r="C62" s="69"/>
      <c r="D62" s="69"/>
      <c r="E62" s="69"/>
      <c r="F62" s="69"/>
      <c r="G62" s="69"/>
      <c r="H62" s="69"/>
      <c r="I62" s="69"/>
      <c r="J62" s="69"/>
      <c r="K62" s="69"/>
      <c r="L62" s="69"/>
      <c r="M62" s="69"/>
      <c r="N62" s="69"/>
      <c r="O62" s="69"/>
      <c r="P62" s="69"/>
      <c r="Q62" s="69"/>
      <c r="R62" s="69"/>
      <c r="S62" s="69"/>
      <c r="T62" s="69"/>
      <c r="U62" s="69"/>
      <c r="V62" s="69"/>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row>
    <row r="63" customFormat="false" ht="15" hidden="false" customHeight="false" outlineLevel="0" collapsed="false">
      <c r="B63" s="69"/>
      <c r="C63" s="69"/>
      <c r="D63" s="69"/>
      <c r="E63" s="69"/>
      <c r="F63" s="69"/>
      <c r="G63" s="69"/>
      <c r="H63" s="69"/>
      <c r="I63" s="69"/>
      <c r="J63" s="69"/>
      <c r="K63" s="69"/>
      <c r="L63" s="69"/>
      <c r="M63" s="69"/>
      <c r="N63" s="69"/>
      <c r="O63" s="69"/>
      <c r="P63" s="69"/>
      <c r="Q63" s="69"/>
      <c r="R63" s="69"/>
      <c r="S63" s="69"/>
      <c r="T63" s="69"/>
      <c r="U63" s="69"/>
      <c r="V63" s="69"/>
      <c r="W63" s="69"/>
      <c r="X63" s="69"/>
      <c r="Y63" s="69"/>
      <c r="Z63" s="69"/>
      <c r="AA63" s="69"/>
      <c r="AB63" s="69"/>
      <c r="AC63" s="69"/>
      <c r="AD63" s="69"/>
      <c r="AE63" s="69"/>
      <c r="AF63" s="69"/>
      <c r="AG63" s="69"/>
      <c r="AH63" s="69"/>
      <c r="AI63" s="69"/>
      <c r="AJ63" s="69"/>
      <c r="AK63" s="69"/>
      <c r="AL63" s="69"/>
      <c r="AM63" s="69"/>
      <c r="AN63" s="69"/>
      <c r="AO63" s="69"/>
      <c r="AP63" s="69"/>
      <c r="AQ63" s="69"/>
      <c r="AR63" s="69"/>
      <c r="AS63" s="69"/>
      <c r="AT63" s="69"/>
      <c r="AU63" s="69"/>
      <c r="AV63" s="69"/>
      <c r="AW63" s="69"/>
      <c r="AX63" s="69"/>
      <c r="AY63" s="69"/>
      <c r="AZ63" s="69"/>
      <c r="BA63" s="69"/>
    </row>
    <row r="64" customFormat="false" ht="15" hidden="false" customHeight="false" outlineLevel="0" collapsed="false">
      <c r="B64" s="69"/>
      <c r="C64" s="69"/>
      <c r="D64" s="69"/>
      <c r="E64" s="69"/>
      <c r="F64" s="69"/>
      <c r="G64" s="69"/>
      <c r="H64" s="69"/>
      <c r="I64" s="69"/>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row>
    <row r="65" customFormat="false" ht="15" hidden="false" customHeight="false" outlineLevel="0" collapsed="false">
      <c r="B65" s="69"/>
      <c r="C65" s="69"/>
      <c r="D65" s="69"/>
      <c r="E65" s="69"/>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row>
    <row r="66" customFormat="false" ht="15" hidden="false" customHeight="false" outlineLevel="0" collapsed="false">
      <c r="B66" s="69"/>
      <c r="C66" s="69"/>
      <c r="D66" s="69"/>
      <c r="E66" s="69"/>
      <c r="F66" s="69"/>
      <c r="G66" s="69"/>
      <c r="H66" s="69"/>
      <c r="I66" s="69"/>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row>
    <row r="67" customFormat="false" ht="15" hidden="false" customHeight="false" outlineLevel="0" collapsed="false">
      <c r="B67" s="69"/>
      <c r="C67" s="69"/>
      <c r="D67" s="69"/>
      <c r="E67" s="69"/>
      <c r="F67" s="69"/>
      <c r="G67" s="69"/>
      <c r="H67" s="69"/>
      <c r="I67" s="69"/>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row>
    <row r="68" customFormat="false" ht="15" hidden="false" customHeight="false" outlineLevel="0" collapsed="false">
      <c r="B68" s="69"/>
      <c r="C68" s="69"/>
      <c r="D68" s="69"/>
      <c r="E68" s="69"/>
      <c r="F68" s="69"/>
      <c r="G68" s="69"/>
      <c r="H68" s="69"/>
      <c r="I68" s="69"/>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row>
    <row r="69" customFormat="false" ht="15" hidden="false" customHeight="false" outlineLevel="0" collapsed="false">
      <c r="B69" s="69"/>
      <c r="C69" s="69"/>
      <c r="D69" s="69"/>
      <c r="E69" s="69"/>
      <c r="F69" s="69"/>
      <c r="G69" s="69"/>
      <c r="H69" s="69"/>
      <c r="I69" s="69"/>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row>
    <row r="70" customFormat="false" ht="15" hidden="false" customHeight="false" outlineLevel="0" collapsed="false">
      <c r="B70" s="69"/>
      <c r="C70" s="69"/>
      <c r="D70" s="69"/>
      <c r="E70" s="69"/>
      <c r="F70" s="69"/>
      <c r="G70" s="69"/>
      <c r="H70" s="69"/>
      <c r="I70" s="69"/>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row>
    <row r="71" customFormat="false" ht="15" hidden="false" customHeight="false" outlineLevel="0" collapsed="false">
      <c r="B71" s="69"/>
      <c r="C71" s="69"/>
      <c r="D71" s="69"/>
      <c r="E71" s="69"/>
      <c r="F71" s="69"/>
      <c r="G71" s="69"/>
      <c r="H71" s="69"/>
      <c r="I71" s="6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row>
    <row r="72" customFormat="false" ht="15" hidden="false" customHeight="false" outlineLevel="0" collapsed="false">
      <c r="B72" s="69"/>
      <c r="C72" s="69"/>
      <c r="D72" s="69"/>
      <c r="E72" s="69"/>
      <c r="F72" s="69"/>
      <c r="G72" s="69"/>
      <c r="H72" s="69"/>
      <c r="I72" s="69"/>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row>
    <row r="73" customFormat="false" ht="15" hidden="false" customHeight="false" outlineLevel="0" collapsed="false">
      <c r="B73" s="69"/>
      <c r="C73" s="69"/>
      <c r="D73" s="69"/>
      <c r="E73" s="69"/>
      <c r="F73" s="69"/>
      <c r="G73" s="69"/>
      <c r="H73" s="69"/>
      <c r="I73" s="69"/>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row>
    <row r="74" customFormat="false" ht="15" hidden="false" customHeight="false" outlineLevel="0" collapsed="false">
      <c r="B74" s="69"/>
      <c r="C74" s="69"/>
      <c r="D74" s="69"/>
      <c r="E74" s="69"/>
      <c r="F74" s="69"/>
      <c r="G74" s="69"/>
      <c r="H74" s="69"/>
      <c r="I74" s="69"/>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row>
    <row r="75" customFormat="false" ht="15" hidden="false" customHeight="false" outlineLevel="0" collapsed="false">
      <c r="B75" s="69"/>
      <c r="C75" s="69"/>
      <c r="D75" s="69"/>
      <c r="E75" s="69"/>
      <c r="F75" s="69"/>
      <c r="G75" s="69"/>
      <c r="H75" s="69"/>
      <c r="I75" s="69"/>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row>
    <row r="76" customFormat="false" ht="15" hidden="false" customHeight="false" outlineLevel="0" collapsed="false">
      <c r="B76" s="69"/>
      <c r="C76" s="69"/>
      <c r="D76" s="69"/>
      <c r="E76" s="69"/>
      <c r="F76" s="69"/>
      <c r="G76" s="69"/>
      <c r="H76" s="69"/>
      <c r="I76" s="69"/>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row>
    <row r="77" customFormat="false" ht="15" hidden="false" customHeight="false" outlineLevel="0" collapsed="false">
      <c r="B77" s="69"/>
      <c r="C77" s="69"/>
      <c r="D77" s="69"/>
      <c r="E77" s="69"/>
      <c r="F77" s="69"/>
      <c r="G77" s="69"/>
      <c r="H77" s="69"/>
      <c r="I77" s="69"/>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row>
    <row r="78" customFormat="false" ht="15" hidden="false" customHeight="false" outlineLevel="0" collapsed="false">
      <c r="B78" s="69"/>
      <c r="C78" s="69"/>
      <c r="D78" s="69"/>
      <c r="E78" s="69"/>
      <c r="F78" s="69"/>
      <c r="G78" s="69"/>
      <c r="H78" s="69"/>
      <c r="I78" s="69"/>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row>
    <row r="79" customFormat="false" ht="15" hidden="false" customHeight="false" outlineLevel="0" collapsed="false">
      <c r="B79" s="69"/>
      <c r="C79" s="69"/>
      <c r="D79" s="69"/>
      <c r="E79" s="69"/>
      <c r="F79" s="69"/>
      <c r="G79" s="69"/>
      <c r="H79" s="69"/>
      <c r="I79" s="69"/>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row>
    <row r="80" customFormat="false" ht="15" hidden="false" customHeight="false" outlineLevel="0" collapsed="false">
      <c r="B80" s="69"/>
      <c r="C80" s="69"/>
      <c r="D80" s="69"/>
      <c r="E80" s="69"/>
      <c r="F80" s="69"/>
      <c r="G80" s="69"/>
      <c r="H80" s="69"/>
      <c r="I80" s="69"/>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row>
    <row r="81" customFormat="false" ht="15" hidden="false" customHeight="false" outlineLevel="0" collapsed="false">
      <c r="B81" s="69"/>
      <c r="C81" s="69"/>
      <c r="D81" s="69"/>
      <c r="E81" s="69"/>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row>
    <row r="82" customFormat="false" ht="15" hidden="false" customHeight="false" outlineLevel="0" collapsed="false">
      <c r="B82" s="69"/>
      <c r="C82" s="69"/>
      <c r="D82" s="69"/>
      <c r="E82" s="69"/>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row>
    <row r="83" customFormat="false" ht="15" hidden="false" customHeight="false" outlineLevel="0" collapsed="false">
      <c r="B83" s="69"/>
      <c r="C83" s="69"/>
      <c r="D83" s="69"/>
      <c r="E83" s="69"/>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row>
    <row r="84" customFormat="false" ht="15" hidden="false" customHeight="false" outlineLevel="0" collapsed="false">
      <c r="B84" s="69"/>
      <c r="C84" s="69"/>
      <c r="D84" s="69"/>
      <c r="E84" s="69"/>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row>
    <row r="85" customFormat="false" ht="15" hidden="false" customHeight="false" outlineLevel="0" collapsed="false">
      <c r="B85" s="69"/>
      <c r="C85" s="69"/>
      <c r="D85" s="69"/>
      <c r="E85" s="69"/>
      <c r="F85" s="69"/>
      <c r="G85" s="69"/>
      <c r="H85" s="69"/>
      <c r="I85" s="6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row>
    <row r="86" customFormat="false" ht="15" hidden="false" customHeight="false" outlineLevel="0" collapsed="false">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row>
    <row r="87" customFormat="false" ht="15" hidden="false" customHeight="false" outlineLevel="0" collapsed="false">
      <c r="B87" s="69"/>
      <c r="C87" s="69"/>
      <c r="D87" s="69"/>
      <c r="E87" s="69"/>
      <c r="F87" s="69"/>
      <c r="G87" s="69"/>
      <c r="H87" s="69"/>
      <c r="I87" s="69"/>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row>
    <row r="88" customFormat="false" ht="15" hidden="false" customHeight="false" outlineLevel="0" collapsed="false">
      <c r="B88" s="69"/>
      <c r="C88" s="69"/>
      <c r="D88" s="69"/>
      <c r="E88" s="69"/>
      <c r="F88" s="69"/>
      <c r="G88" s="69"/>
      <c r="H88" s="69"/>
      <c r="I88" s="69"/>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row>
    <row r="89" customFormat="false" ht="15" hidden="false" customHeight="false" outlineLevel="0" collapsed="false">
      <c r="B89" s="69"/>
      <c r="C89" s="69"/>
      <c r="D89" s="69"/>
      <c r="E89" s="69"/>
      <c r="F89" s="69"/>
      <c r="G89" s="69"/>
      <c r="H89" s="69"/>
      <c r="I89" s="69"/>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row>
    <row r="90" customFormat="false" ht="15" hidden="false" customHeight="false" outlineLevel="0" collapsed="false">
      <c r="B90" s="69"/>
      <c r="C90" s="69"/>
      <c r="D90" s="69"/>
      <c r="E90" s="69"/>
      <c r="F90" s="69"/>
      <c r="G90" s="69"/>
      <c r="H90" s="69"/>
      <c r="I90" s="69"/>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row>
    <row r="91" customFormat="false" ht="15" hidden="false" customHeight="false" outlineLevel="0" collapsed="false">
      <c r="B91" s="69"/>
      <c r="C91" s="69"/>
      <c r="D91" s="69"/>
      <c r="E91" s="69"/>
      <c r="F91" s="69"/>
      <c r="G91" s="69"/>
      <c r="H91" s="69"/>
      <c r="I91" s="69"/>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row>
    <row r="92" customFormat="false" ht="15" hidden="false" customHeight="false" outlineLevel="0" collapsed="false">
      <c r="B92" s="69"/>
      <c r="C92" s="69"/>
      <c r="D92" s="69"/>
      <c r="E92" s="69"/>
      <c r="F92" s="69"/>
      <c r="G92" s="69"/>
      <c r="H92" s="69"/>
      <c r="I92" s="69"/>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row>
    <row r="93" customFormat="false" ht="15" hidden="false" customHeight="false" outlineLevel="0" collapsed="false">
      <c r="B93" s="69"/>
      <c r="C93" s="69"/>
      <c r="D93" s="69"/>
      <c r="E93" s="69"/>
      <c r="F93" s="69"/>
      <c r="G93" s="69"/>
      <c r="H93" s="69"/>
      <c r="I93" s="69"/>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row>
    <row r="94" customFormat="false" ht="15" hidden="false" customHeight="false" outlineLevel="0" collapsed="false">
      <c r="B94" s="69"/>
      <c r="C94" s="69"/>
      <c r="D94" s="69"/>
      <c r="E94" s="69"/>
      <c r="F94" s="69"/>
      <c r="G94" s="69"/>
      <c r="H94" s="69"/>
      <c r="I94" s="69"/>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row>
    <row r="95" customFormat="false" ht="15" hidden="false" customHeight="false" outlineLevel="0" collapsed="false">
      <c r="B95" s="69"/>
      <c r="C95" s="69"/>
      <c r="D95" s="69"/>
      <c r="E95" s="69"/>
      <c r="F95" s="69"/>
      <c r="G95" s="69"/>
      <c r="H95" s="69"/>
      <c r="I95" s="69"/>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row>
    <row r="96" customFormat="false" ht="15" hidden="false" customHeight="false" outlineLevel="0" collapsed="false">
      <c r="B96" s="69"/>
      <c r="C96" s="69"/>
      <c r="D96" s="69"/>
      <c r="E96" s="69"/>
      <c r="F96" s="69"/>
      <c r="G96" s="69"/>
      <c r="H96" s="69"/>
      <c r="I96" s="69"/>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row>
    <row r="97" customFormat="false" ht="15" hidden="false" customHeight="false" outlineLevel="0" collapsed="false">
      <c r="B97" s="69"/>
      <c r="C97" s="69"/>
      <c r="D97" s="69"/>
      <c r="E97" s="69"/>
      <c r="F97" s="69"/>
      <c r="G97" s="69"/>
      <c r="H97" s="69"/>
      <c r="I97" s="69"/>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row>
    <row r="98" customFormat="false" ht="15" hidden="false" customHeight="false" outlineLevel="0" collapsed="false">
      <c r="B98" s="69"/>
      <c r="C98" s="69"/>
      <c r="D98" s="69"/>
      <c r="E98" s="69"/>
      <c r="F98" s="69"/>
      <c r="G98" s="69"/>
      <c r="H98" s="69"/>
      <c r="I98" s="69"/>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row>
    <row r="99" customFormat="false" ht="15" hidden="false" customHeight="false" outlineLevel="0" collapsed="false">
      <c r="B99" s="69"/>
      <c r="C99" s="69"/>
      <c r="D99" s="69"/>
      <c r="E99" s="69"/>
      <c r="F99" s="69"/>
      <c r="G99" s="69"/>
      <c r="H99" s="69"/>
      <c r="I99" s="69"/>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row>
    <row r="100" customFormat="false" ht="15" hidden="false" customHeight="false" outlineLevel="0" collapsed="false">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row>
    <row r="101" customFormat="false" ht="15" hidden="false" customHeight="false" outlineLevel="0" collapsed="false">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row>
    <row r="102" customFormat="false" ht="15" hidden="false" customHeight="false" outlineLevel="0" collapsed="false">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row>
    <row r="103" customFormat="false" ht="15" hidden="false" customHeight="false" outlineLevel="0" collapsed="false">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row>
    <row r="104" customFormat="false" ht="15" hidden="false" customHeight="false" outlineLevel="0" collapsed="false">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row>
    <row r="105" customFormat="false" ht="15" hidden="false" customHeight="false" outlineLevel="0" collapsed="false">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row>
    <row r="106" customFormat="false" ht="15" hidden="false" customHeight="false" outlineLevel="0" collapsed="false">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row>
    <row r="107" customFormat="false" ht="15" hidden="false" customHeight="false" outlineLevel="0" collapsed="false">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row>
    <row r="108" customFormat="false" ht="15" hidden="false" customHeight="false" outlineLevel="0" collapsed="false">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row>
    <row r="109" customFormat="false" ht="15" hidden="false" customHeight="false" outlineLevel="0" collapsed="false">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row>
    <row r="110" customFormat="false" ht="15" hidden="false" customHeight="false" outlineLevel="0" collapsed="false">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row>
    <row r="111" customFormat="false" ht="15" hidden="false" customHeight="false" outlineLevel="0" collapsed="false">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row>
    <row r="112" customFormat="false" ht="15" hidden="false" customHeight="false" outlineLevel="0" collapsed="false">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row>
    <row r="113" customFormat="false" ht="15" hidden="false" customHeight="false" outlineLevel="0" collapsed="false">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row>
    <row r="114" customFormat="false" ht="15" hidden="false" customHeight="false" outlineLevel="0" collapsed="false">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row>
    <row r="115" customFormat="false" ht="15" hidden="false" customHeight="false" outlineLevel="0" collapsed="false">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row>
    <row r="116" customFormat="false" ht="15" hidden="false" customHeight="false" outlineLevel="0" collapsed="false">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row>
    <row r="117" customFormat="false" ht="15" hidden="false" customHeight="false" outlineLevel="0" collapsed="false">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row>
    <row r="118" customFormat="false" ht="15" hidden="false" customHeight="false" outlineLevel="0" collapsed="false">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row>
    <row r="119" customFormat="false" ht="15" hidden="false" customHeight="false" outlineLevel="0" collapsed="false">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row>
    <row r="120" customFormat="false" ht="15" hidden="false" customHeight="false" outlineLevel="0" collapsed="false">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row>
    <row r="121" customFormat="false" ht="15" hidden="false" customHeight="false" outlineLevel="0" collapsed="false">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row>
    <row r="122" customFormat="false" ht="15" hidden="false" customHeight="false" outlineLevel="0" collapsed="false">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row>
    <row r="123" customFormat="false" ht="15" hidden="false" customHeight="false" outlineLevel="0" collapsed="false">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row>
    <row r="124" customFormat="false" ht="15" hidden="false" customHeight="false" outlineLevel="0" collapsed="false">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row>
    <row r="125" customFormat="false" ht="15" hidden="false" customHeight="false" outlineLevel="0" collapsed="false">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row>
    <row r="126" customFormat="false" ht="15" hidden="false" customHeight="false" outlineLevel="0" collapsed="false">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row>
    <row r="127" customFormat="false" ht="15" hidden="false" customHeight="false" outlineLevel="0" collapsed="false">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row>
    <row r="128" customFormat="false" ht="15" hidden="false" customHeight="false" outlineLevel="0" collapsed="false">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row>
    <row r="129" customFormat="false" ht="15" hidden="false" customHeight="false" outlineLevel="0" collapsed="false">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row>
    <row r="130" customFormat="false" ht="15" hidden="false" customHeight="false" outlineLevel="0" collapsed="false">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row>
    <row r="131" customFormat="false" ht="15" hidden="false" customHeight="false" outlineLevel="0" collapsed="false">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row>
    <row r="132" customFormat="false" ht="15" hidden="false" customHeight="false" outlineLevel="0" collapsed="false">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row>
    <row r="133" customFormat="false" ht="15" hidden="false" customHeight="false" outlineLevel="0" collapsed="false">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row>
    <row r="134" customFormat="false" ht="15" hidden="false" customHeight="false" outlineLevel="0" collapsed="false">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row>
    <row r="135" customFormat="false" ht="15" hidden="false" customHeight="false" outlineLevel="0" collapsed="false">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row>
    <row r="136" customFormat="false" ht="15" hidden="false" customHeight="false" outlineLevel="0" collapsed="false">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row>
    <row r="137" customFormat="false" ht="15" hidden="false" customHeight="false" outlineLevel="0" collapsed="false">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row>
    <row r="138" customFormat="false" ht="15" hidden="false" customHeight="false" outlineLevel="0" collapsed="false">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row>
    <row r="139" customFormat="false" ht="15" hidden="false" customHeight="false" outlineLevel="0" collapsed="false">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row>
    <row r="140" customFormat="false" ht="15" hidden="false" customHeight="false" outlineLevel="0" collapsed="false">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row>
    <row r="141" customFormat="false" ht="15" hidden="false" customHeight="false" outlineLevel="0" collapsed="false">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row>
    <row r="142" customFormat="false" ht="15" hidden="false" customHeight="false" outlineLevel="0" collapsed="false">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row>
    <row r="143" customFormat="false" ht="15" hidden="false" customHeight="false" outlineLevel="0" collapsed="false">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row>
    <row r="144" customFormat="false" ht="15" hidden="false" customHeight="false" outlineLevel="0" collapsed="false">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row>
    <row r="145" customFormat="false" ht="15" hidden="false" customHeight="false" outlineLevel="0" collapsed="false">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row>
    <row r="146" customFormat="false" ht="15" hidden="false" customHeight="false" outlineLevel="0" collapsed="false">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row>
    <row r="147" customFormat="false" ht="15" hidden="false" customHeight="false" outlineLevel="0" collapsed="false">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row>
    <row r="148" customFormat="false" ht="15" hidden="false" customHeight="false" outlineLevel="0" collapsed="false">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row>
    <row r="149" customFormat="false" ht="15" hidden="false" customHeight="false" outlineLevel="0" collapsed="false">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row>
    <row r="150" customFormat="false" ht="15" hidden="false" customHeight="false" outlineLevel="0" collapsed="false">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row>
    <row r="151" customFormat="false" ht="15" hidden="false" customHeight="false" outlineLevel="0" collapsed="false">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row>
    <row r="152" customFormat="false" ht="15" hidden="false" customHeight="false" outlineLevel="0" collapsed="false">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row>
    <row r="153" customFormat="false" ht="15" hidden="false" customHeight="false" outlineLevel="0" collapsed="false">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row>
    <row r="154" customFormat="false" ht="15" hidden="false" customHeight="false" outlineLevel="0" collapsed="false">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row>
    <row r="155" customFormat="false" ht="15" hidden="false" customHeight="false" outlineLevel="0" collapsed="false">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row>
    <row r="156" customFormat="false" ht="15" hidden="false" customHeight="false" outlineLevel="0" collapsed="false">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row>
    <row r="157" customFormat="false" ht="15" hidden="false" customHeight="false" outlineLevel="0" collapsed="false">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row>
    <row r="158" customFormat="false" ht="15" hidden="false" customHeight="false" outlineLevel="0" collapsed="false">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row>
    <row r="159" customFormat="false" ht="15" hidden="false" customHeight="false" outlineLevel="0" collapsed="false">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row>
    <row r="160" customFormat="false" ht="15" hidden="false" customHeight="false" outlineLevel="0" collapsed="false">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row>
    <row r="161" customFormat="false" ht="15" hidden="false" customHeight="false" outlineLevel="0" collapsed="false">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row>
    <row r="162" customFormat="false" ht="15" hidden="false" customHeight="false" outlineLevel="0" collapsed="false">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row>
    <row r="163" customFormat="false" ht="15" hidden="false" customHeight="false" outlineLevel="0" collapsed="false">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row>
    <row r="164" customFormat="false" ht="15" hidden="false" customHeight="false" outlineLevel="0" collapsed="false">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row>
    <row r="165" customFormat="false" ht="15" hidden="false" customHeight="false" outlineLevel="0" collapsed="false">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row>
    <row r="166" customFormat="false" ht="15" hidden="false" customHeight="false" outlineLevel="0" collapsed="false">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row>
    <row r="167" customFormat="false" ht="15" hidden="false" customHeight="false" outlineLevel="0" collapsed="false">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row>
    <row r="168" customFormat="false" ht="15" hidden="false" customHeight="false" outlineLevel="0" collapsed="false">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row>
    <row r="169" customFormat="false" ht="15" hidden="false" customHeight="false" outlineLevel="0" collapsed="false">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row>
    <row r="170" customFormat="false" ht="15" hidden="false" customHeight="false" outlineLevel="0" collapsed="false">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row>
    <row r="171" customFormat="false" ht="15" hidden="false" customHeight="false" outlineLevel="0" collapsed="false">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row>
    <row r="172" customFormat="false" ht="15" hidden="false" customHeight="false" outlineLevel="0" collapsed="false">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row>
    <row r="173" customFormat="false" ht="15" hidden="false" customHeight="false" outlineLevel="0" collapsed="false">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row>
    <row r="174" customFormat="false" ht="15" hidden="false" customHeight="false" outlineLevel="0" collapsed="false">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row>
    <row r="175" customFormat="false" ht="15" hidden="false" customHeight="false" outlineLevel="0" collapsed="false">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row>
    <row r="176" customFormat="false" ht="15" hidden="false" customHeight="false" outlineLevel="0" collapsed="false">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row>
    <row r="177" customFormat="false" ht="15" hidden="false" customHeight="false" outlineLevel="0" collapsed="false">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row>
    <row r="178" customFormat="false" ht="15" hidden="false" customHeight="false" outlineLevel="0" collapsed="false">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row>
    <row r="179" customFormat="false" ht="15" hidden="false" customHeight="false" outlineLevel="0" collapsed="false">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row>
    <row r="180" customFormat="false" ht="15" hidden="false" customHeight="false" outlineLevel="0" collapsed="false">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row>
    <row r="181" customFormat="false" ht="15" hidden="false" customHeight="false" outlineLevel="0" collapsed="false">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row>
    <row r="182" customFormat="false" ht="15" hidden="false" customHeight="false" outlineLevel="0" collapsed="false">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row>
    <row r="183" customFormat="false" ht="15" hidden="false" customHeight="false" outlineLevel="0" collapsed="false">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row>
    <row r="184" customFormat="false" ht="15" hidden="false" customHeight="false" outlineLevel="0" collapsed="false">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row>
    <row r="185" customFormat="false" ht="15" hidden="false" customHeight="false" outlineLevel="0" collapsed="false">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row>
    <row r="186" customFormat="false" ht="15" hidden="false" customHeight="false" outlineLevel="0" collapsed="false">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row>
    <row r="187" customFormat="false" ht="15" hidden="false" customHeight="false" outlineLevel="0" collapsed="false">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row>
    <row r="188" customFormat="false" ht="15" hidden="false" customHeight="false" outlineLevel="0" collapsed="false">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row>
    <row r="189" customFormat="false" ht="15" hidden="false" customHeight="false" outlineLevel="0" collapsed="false">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row>
    <row r="190" customFormat="false" ht="15" hidden="false" customHeight="false" outlineLevel="0" collapsed="false">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row>
    <row r="191" customFormat="false" ht="15" hidden="false" customHeight="false" outlineLevel="0" collapsed="false">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row>
    <row r="192" customFormat="false" ht="15" hidden="false" customHeight="false" outlineLevel="0" collapsed="false">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row>
    <row r="193" customFormat="false" ht="15" hidden="false" customHeight="false" outlineLevel="0" collapsed="false">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row>
    <row r="194" customFormat="false" ht="15" hidden="false" customHeight="false" outlineLevel="0" collapsed="false">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row>
    <row r="195" customFormat="false" ht="15" hidden="false" customHeight="false" outlineLevel="0" collapsed="false">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row>
    <row r="196" customFormat="false" ht="15" hidden="false" customHeight="false" outlineLevel="0" collapsed="false">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row>
    <row r="197" customFormat="false" ht="15" hidden="false" customHeight="false" outlineLevel="0" collapsed="false">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row>
    <row r="198" customFormat="false" ht="15" hidden="false" customHeight="false" outlineLevel="0" collapsed="false">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row>
    <row r="199" customFormat="false" ht="15" hidden="false" customHeight="false" outlineLevel="0" collapsed="false">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row>
    <row r="200" customFormat="false" ht="15" hidden="false" customHeight="false" outlineLevel="0" collapsed="false">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row>
    <row r="201" customFormat="false" ht="15" hidden="false" customHeight="false" outlineLevel="0" collapsed="false">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row>
    <row r="202" customFormat="false" ht="15" hidden="false" customHeight="false" outlineLevel="0" collapsed="false">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row>
    <row r="203" customFormat="false" ht="15" hidden="false" customHeight="false" outlineLevel="0" collapsed="false">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row>
    <row r="204" customFormat="false" ht="15" hidden="false" customHeight="false" outlineLevel="0" collapsed="false">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row>
    <row r="205" customFormat="false" ht="15" hidden="false" customHeight="false" outlineLevel="0" collapsed="false">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row>
    <row r="206" customFormat="false" ht="15" hidden="false" customHeight="false" outlineLevel="0" collapsed="false">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row>
    <row r="207" customFormat="false" ht="15" hidden="false" customHeight="false" outlineLevel="0" collapsed="false">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row>
    <row r="208" customFormat="false" ht="15" hidden="false" customHeight="false" outlineLevel="0" collapsed="false">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row>
    <row r="209" customFormat="false" ht="15" hidden="false" customHeight="false" outlineLevel="0" collapsed="false">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row>
    <row r="210" customFormat="false" ht="15" hidden="false" customHeight="false" outlineLevel="0" collapsed="false">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row>
    <row r="211" customFormat="false" ht="15" hidden="false" customHeight="false" outlineLevel="0" collapsed="false">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row>
    <row r="212" customFormat="false" ht="15" hidden="false" customHeight="false" outlineLevel="0" collapsed="false">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row>
    <row r="213" customFormat="false" ht="15" hidden="false" customHeight="false" outlineLevel="0" collapsed="false">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row>
    <row r="214" customFormat="false" ht="15" hidden="false" customHeight="false" outlineLevel="0" collapsed="false">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row>
    <row r="215" customFormat="false" ht="15" hidden="false" customHeight="false" outlineLevel="0" collapsed="false">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row>
    <row r="216" customFormat="false" ht="15" hidden="false" customHeight="false" outlineLevel="0" collapsed="false">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row>
    <row r="217" customFormat="false" ht="15" hidden="false" customHeight="false" outlineLevel="0" collapsed="false">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row>
    <row r="218" customFormat="false" ht="15" hidden="false" customHeight="false" outlineLevel="0" collapsed="false">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row>
    <row r="219" customFormat="false" ht="15" hidden="false" customHeight="false" outlineLevel="0" collapsed="false">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row>
    <row r="220" customFormat="false" ht="15" hidden="false" customHeight="false" outlineLevel="0" collapsed="false">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row>
    <row r="221" customFormat="false" ht="15" hidden="false" customHeight="false" outlineLevel="0" collapsed="false">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row>
    <row r="222" customFormat="false" ht="15" hidden="false" customHeight="false" outlineLevel="0" collapsed="false">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row>
    <row r="223" customFormat="false" ht="15" hidden="false" customHeight="false" outlineLevel="0" collapsed="false">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row>
    <row r="224" customFormat="false" ht="15" hidden="false" customHeight="false" outlineLevel="0" collapsed="false">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row>
    <row r="225" customFormat="false" ht="15" hidden="false" customHeight="false" outlineLevel="0" collapsed="false">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row>
    <row r="226" customFormat="false" ht="15" hidden="false" customHeight="false" outlineLevel="0" collapsed="false">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row>
    <row r="227" customFormat="false" ht="15" hidden="false" customHeight="false" outlineLevel="0" collapsed="false">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row>
    <row r="228" customFormat="false" ht="15" hidden="false" customHeight="false" outlineLevel="0" collapsed="false">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row>
    <row r="229" customFormat="false" ht="15" hidden="false" customHeight="false" outlineLevel="0" collapsed="false">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row>
    <row r="230" customFormat="false" ht="15" hidden="false" customHeight="false" outlineLevel="0" collapsed="false">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row>
    <row r="231" customFormat="false" ht="15" hidden="false" customHeight="false" outlineLevel="0" collapsed="false">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row>
    <row r="232" customFormat="false" ht="15" hidden="false" customHeight="false" outlineLevel="0" collapsed="false">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row>
    <row r="233" customFormat="false" ht="15" hidden="false" customHeight="false" outlineLevel="0" collapsed="false">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row>
    <row r="234" customFormat="false" ht="15" hidden="false" customHeight="false" outlineLevel="0" collapsed="false">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row>
    <row r="235" customFormat="false" ht="15" hidden="false" customHeight="false" outlineLevel="0" collapsed="false">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row>
    <row r="236" customFormat="false" ht="15" hidden="false" customHeight="false" outlineLevel="0" collapsed="false">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row>
    <row r="237" customFormat="false" ht="15" hidden="false" customHeight="false" outlineLevel="0" collapsed="false">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row>
    <row r="238" customFormat="false" ht="15" hidden="false" customHeight="false" outlineLevel="0" collapsed="false">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row>
    <row r="239" customFormat="false" ht="15" hidden="false" customHeight="false" outlineLevel="0" collapsed="false">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row>
    <row r="240" customFormat="false" ht="15" hidden="false" customHeight="false" outlineLevel="0" collapsed="false">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row>
    <row r="241" customFormat="false" ht="15" hidden="false" customHeight="false" outlineLevel="0" collapsed="false">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row>
    <row r="242" customFormat="false" ht="15" hidden="false" customHeight="false" outlineLevel="0" collapsed="false">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row>
    <row r="243" customFormat="false" ht="15" hidden="false" customHeight="false" outlineLevel="0" collapsed="false">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row>
    <row r="244" customFormat="false" ht="15" hidden="false" customHeight="false" outlineLevel="0" collapsed="false">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row>
    <row r="245" customFormat="false" ht="15" hidden="false" customHeight="false" outlineLevel="0" collapsed="false">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row>
    <row r="246" customFormat="false" ht="15" hidden="false" customHeight="false" outlineLevel="0" collapsed="false">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row>
    <row r="247" customFormat="false" ht="15" hidden="false" customHeight="false" outlineLevel="0" collapsed="false">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row>
    <row r="248" customFormat="false" ht="15" hidden="false" customHeight="false" outlineLevel="0" collapsed="false">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row>
    <row r="249" customFormat="false" ht="15" hidden="false" customHeight="false" outlineLevel="0" collapsed="false">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row>
    <row r="250" customFormat="false" ht="15" hidden="false" customHeight="false" outlineLevel="0" collapsed="false">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row>
    <row r="251" customFormat="false" ht="15" hidden="false" customHeight="false" outlineLevel="0" collapsed="false">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row>
    <row r="252" customFormat="false" ht="15" hidden="false" customHeight="false" outlineLevel="0" collapsed="false">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row>
    <row r="253" customFormat="false" ht="15" hidden="false" customHeight="false" outlineLevel="0" collapsed="false">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row>
    <row r="254" customFormat="false" ht="15" hidden="false" customHeight="false" outlineLevel="0" collapsed="false">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row>
    <row r="255" customFormat="false" ht="15" hidden="false" customHeight="false" outlineLevel="0" collapsed="false">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row>
    <row r="256" customFormat="false" ht="15" hidden="false" customHeight="false" outlineLevel="0" collapsed="false">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row>
    <row r="257" customFormat="false" ht="15" hidden="false" customHeight="false" outlineLevel="0" collapsed="false">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row>
    <row r="258" customFormat="false" ht="15" hidden="false" customHeight="false" outlineLevel="0" collapsed="false">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row>
    <row r="259" customFormat="false" ht="15" hidden="false" customHeight="false" outlineLevel="0" collapsed="false">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row>
    <row r="260" customFormat="false" ht="15" hidden="false" customHeight="false" outlineLevel="0" collapsed="false">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row>
    <row r="261" customFormat="false" ht="15" hidden="false" customHeight="false" outlineLevel="0" collapsed="false">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row>
    <row r="262" customFormat="false" ht="15" hidden="false" customHeight="false" outlineLevel="0" collapsed="false">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row>
    <row r="263" customFormat="false" ht="15" hidden="false" customHeight="false" outlineLevel="0" collapsed="false">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row>
    <row r="264" customFormat="false" ht="15" hidden="false" customHeight="false" outlineLevel="0" collapsed="false">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row>
    <row r="265" customFormat="false" ht="15" hidden="false" customHeight="false" outlineLevel="0" collapsed="false">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row>
    <row r="266" customFormat="false" ht="15" hidden="false" customHeight="false" outlineLevel="0" collapsed="false">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row>
    <row r="267" customFormat="false" ht="15" hidden="false" customHeight="false" outlineLevel="0" collapsed="false">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row>
    <row r="268" customFormat="false" ht="15" hidden="false" customHeight="false" outlineLevel="0" collapsed="false">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row>
    <row r="269" customFormat="false" ht="15" hidden="false" customHeight="false" outlineLevel="0" collapsed="false">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row>
    <row r="270" customFormat="false" ht="15" hidden="false" customHeight="false" outlineLevel="0" collapsed="false">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row>
    <row r="271" customFormat="false" ht="15" hidden="false" customHeight="false" outlineLevel="0" collapsed="false">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row>
    <row r="272" customFormat="false" ht="15" hidden="false" customHeight="false" outlineLevel="0" collapsed="false">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row>
    <row r="273" customFormat="false" ht="15" hidden="false" customHeight="false" outlineLevel="0" collapsed="false">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row>
    <row r="274" customFormat="false" ht="15" hidden="false" customHeight="false" outlineLevel="0" collapsed="false">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row>
    <row r="275" customFormat="false" ht="15" hidden="false" customHeight="false" outlineLevel="0" collapsed="false">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row>
    <row r="276" customFormat="false" ht="15" hidden="false" customHeight="false" outlineLevel="0" collapsed="false">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row>
    <row r="277" customFormat="false" ht="15" hidden="false" customHeight="false" outlineLevel="0" collapsed="false">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row>
    <row r="278" customFormat="false" ht="15" hidden="false" customHeight="false" outlineLevel="0" collapsed="false">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row>
    <row r="279" customFormat="false" ht="15" hidden="false" customHeight="false" outlineLevel="0" collapsed="false">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row>
    <row r="280" customFormat="false" ht="15" hidden="false" customHeight="false" outlineLevel="0" collapsed="false">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row>
    <row r="281" customFormat="false" ht="15" hidden="false" customHeight="false" outlineLevel="0" collapsed="false">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row>
    <row r="282" customFormat="false" ht="15" hidden="false" customHeight="false" outlineLevel="0" collapsed="false">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row>
    <row r="283" customFormat="false" ht="15" hidden="false" customHeight="false" outlineLevel="0" collapsed="false">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row>
    <row r="284" customFormat="false" ht="15" hidden="false" customHeight="false" outlineLevel="0" collapsed="false">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row>
    <row r="285" customFormat="false" ht="15" hidden="false" customHeight="false" outlineLevel="0" collapsed="false">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row>
    <row r="286" customFormat="false" ht="15" hidden="false" customHeight="false" outlineLevel="0" collapsed="false">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row>
    <row r="287" customFormat="false" ht="15" hidden="false" customHeight="false" outlineLevel="0" collapsed="false">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row>
    <row r="288" customFormat="false" ht="15" hidden="false" customHeight="false" outlineLevel="0" collapsed="false">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row>
    <row r="289" customFormat="false" ht="15" hidden="false" customHeight="false" outlineLevel="0" collapsed="false">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row>
    <row r="290" customFormat="false" ht="15" hidden="false" customHeight="false" outlineLevel="0" collapsed="false">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row>
    <row r="291" customFormat="false" ht="15" hidden="false" customHeight="false" outlineLevel="0" collapsed="false">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row>
    <row r="292" customFormat="false" ht="15" hidden="false" customHeight="false" outlineLevel="0" collapsed="false">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row>
    <row r="293" customFormat="false" ht="15" hidden="false" customHeight="false" outlineLevel="0" collapsed="false">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row>
    <row r="294" customFormat="false" ht="15" hidden="false" customHeight="false" outlineLevel="0" collapsed="false">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row>
    <row r="295" customFormat="false" ht="15" hidden="false" customHeight="false" outlineLevel="0" collapsed="false">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row>
    <row r="296" customFormat="false" ht="15" hidden="false" customHeight="false" outlineLevel="0" collapsed="false">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row>
    <row r="297" customFormat="false" ht="15" hidden="false" customHeight="false" outlineLevel="0" collapsed="false">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row>
    <row r="298" customFormat="false" ht="15" hidden="false" customHeight="false" outlineLevel="0" collapsed="false">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row>
    <row r="299" customFormat="false" ht="15" hidden="false" customHeight="false" outlineLevel="0" collapsed="false">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row>
    <row r="300" customFormat="false" ht="15" hidden="false" customHeight="false" outlineLevel="0" collapsed="false">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row>
    <row r="301" customFormat="false" ht="15" hidden="false" customHeight="false" outlineLevel="0" collapsed="false">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row>
    <row r="302" customFormat="false" ht="15" hidden="false" customHeight="false" outlineLevel="0" collapsed="false">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row>
    <row r="303" customFormat="false" ht="15" hidden="false" customHeight="false" outlineLevel="0" collapsed="false">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c r="AA303" s="69"/>
      <c r="AB303" s="69"/>
      <c r="AC303" s="69"/>
      <c r="AD303" s="69"/>
      <c r="AE303" s="69"/>
      <c r="AF303" s="69"/>
    </row>
    <row r="304" customFormat="false" ht="15" hidden="false" customHeight="false" outlineLevel="0" collapsed="false">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c r="AA304" s="69"/>
      <c r="AB304" s="69"/>
      <c r="AC304" s="69"/>
      <c r="AD304" s="69"/>
      <c r="AE304" s="69"/>
      <c r="AF304" s="69"/>
    </row>
    <row r="305" customFormat="false" ht="15" hidden="false" customHeight="false" outlineLevel="0" collapsed="false">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c r="AA305" s="69"/>
      <c r="AB305" s="69"/>
      <c r="AC305" s="69"/>
      <c r="AD305" s="69"/>
      <c r="AE305" s="69"/>
      <c r="AF305" s="69"/>
    </row>
    <row r="306" customFormat="false" ht="15" hidden="false" customHeight="false" outlineLevel="0" collapsed="false">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c r="AA306" s="69"/>
      <c r="AB306" s="69"/>
      <c r="AC306" s="69"/>
      <c r="AD306" s="69"/>
      <c r="AE306" s="69"/>
      <c r="AF306" s="69"/>
    </row>
    <row r="307" customFormat="false" ht="15" hidden="false" customHeight="false" outlineLevel="0" collapsed="false">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c r="AA307" s="69"/>
      <c r="AB307" s="69"/>
      <c r="AC307" s="69"/>
      <c r="AD307" s="69"/>
      <c r="AE307" s="69"/>
      <c r="AF307" s="69"/>
    </row>
    <row r="308" customFormat="false" ht="15" hidden="false" customHeight="false" outlineLevel="0" collapsed="false">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c r="AA308" s="69"/>
      <c r="AB308" s="69"/>
      <c r="AC308" s="69"/>
      <c r="AD308" s="69"/>
      <c r="AE308" s="69"/>
      <c r="AF308" s="69"/>
    </row>
    <row r="309" customFormat="false" ht="15" hidden="false" customHeight="false" outlineLevel="0" collapsed="false">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c r="AA309" s="69"/>
      <c r="AB309" s="69"/>
      <c r="AC309" s="69"/>
      <c r="AD309" s="69"/>
      <c r="AE309" s="69"/>
      <c r="AF309" s="69"/>
    </row>
    <row r="310" customFormat="false" ht="15" hidden="false" customHeight="false" outlineLevel="0" collapsed="false">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c r="AA310" s="69"/>
      <c r="AB310" s="69"/>
      <c r="AC310" s="69"/>
      <c r="AD310" s="69"/>
      <c r="AE310" s="69"/>
      <c r="AF310" s="69"/>
    </row>
    <row r="311" customFormat="false" ht="15" hidden="false" customHeight="false" outlineLevel="0" collapsed="false">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c r="AA311" s="69"/>
      <c r="AB311" s="69"/>
      <c r="AC311" s="69"/>
      <c r="AD311" s="69"/>
      <c r="AE311" s="69"/>
      <c r="AF311" s="69"/>
    </row>
    <row r="312" customFormat="false" ht="15" hidden="false" customHeight="false" outlineLevel="0" collapsed="false">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c r="AA312" s="69"/>
      <c r="AB312" s="69"/>
      <c r="AC312" s="69"/>
      <c r="AD312" s="69"/>
      <c r="AE312" s="69"/>
      <c r="AF312" s="69"/>
    </row>
    <row r="313" customFormat="false" ht="15" hidden="false" customHeight="false" outlineLevel="0" collapsed="false">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c r="AA313" s="69"/>
      <c r="AB313" s="69"/>
      <c r="AC313" s="69"/>
      <c r="AD313" s="69"/>
      <c r="AE313" s="69"/>
      <c r="AF313" s="69"/>
    </row>
    <row r="314" customFormat="false" ht="15" hidden="false" customHeight="false" outlineLevel="0" collapsed="false">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c r="AA314" s="69"/>
      <c r="AB314" s="69"/>
      <c r="AC314" s="69"/>
      <c r="AD314" s="69"/>
      <c r="AE314" s="69"/>
      <c r="AF314" s="69"/>
    </row>
    <row r="315" customFormat="false" ht="15" hidden="false" customHeight="false" outlineLevel="0" collapsed="false">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c r="AA315" s="69"/>
      <c r="AB315" s="69"/>
      <c r="AC315" s="69"/>
      <c r="AD315" s="69"/>
      <c r="AE315" s="69"/>
      <c r="AF315" s="69"/>
    </row>
    <row r="316" customFormat="false" ht="15" hidden="false" customHeight="false" outlineLevel="0" collapsed="false">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c r="AA316" s="69"/>
      <c r="AB316" s="69"/>
      <c r="AC316" s="69"/>
      <c r="AD316" s="69"/>
      <c r="AE316" s="69"/>
      <c r="AF316" s="69"/>
    </row>
    <row r="317" customFormat="false" ht="15" hidden="false" customHeight="false" outlineLevel="0" collapsed="false">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c r="AA317" s="69"/>
      <c r="AB317" s="69"/>
      <c r="AC317" s="69"/>
      <c r="AD317" s="69"/>
      <c r="AE317" s="69"/>
      <c r="AF317" s="69"/>
    </row>
    <row r="318" customFormat="false" ht="15" hidden="false" customHeight="false" outlineLevel="0" collapsed="false">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c r="AA318" s="69"/>
      <c r="AB318" s="69"/>
      <c r="AC318" s="69"/>
      <c r="AD318" s="69"/>
      <c r="AE318" s="69"/>
      <c r="AF318" s="69"/>
    </row>
    <row r="319" customFormat="false" ht="15" hidden="false" customHeight="false" outlineLevel="0" collapsed="false">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c r="AA319" s="69"/>
      <c r="AB319" s="69"/>
      <c r="AC319" s="69"/>
      <c r="AD319" s="69"/>
      <c r="AE319" s="69"/>
      <c r="AF319" s="6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86"/>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2" ySplit="0" topLeftCell="J1" activePane="topRight" state="frozen"/>
      <selection pane="topLeft" activeCell="A1" activeCellId="0" sqref="A1"/>
      <selection pane="topRight" activeCell="AC52" activeCellId="0" sqref="AC52"/>
    </sheetView>
  </sheetViews>
  <sheetFormatPr defaultColWidth="8.6796875" defaultRowHeight="15" customHeight="true" zeroHeight="false" outlineLevelRow="0" outlineLevelCol="0"/>
  <cols>
    <col collapsed="false" customWidth="true" hidden="false" outlineLevel="0" max="1" min="1" style="1" width="3"/>
    <col collapsed="false" customWidth="true" hidden="true" outlineLevel="0" max="2" min="2" style="1" width="6.14"/>
    <col collapsed="false" customWidth="true" hidden="false" outlineLevel="0" max="3" min="3" style="1" width="10.85"/>
    <col collapsed="false" customWidth="true" hidden="false" outlineLevel="0" max="4" min="4" style="1" width="12.42"/>
    <col collapsed="false" customWidth="true" hidden="false" outlineLevel="0" max="17" min="6" style="1" width="16.29"/>
    <col collapsed="false" customWidth="true" hidden="false" outlineLevel="0" max="18" min="18" style="1" width="9.14"/>
    <col collapsed="false" customWidth="true" hidden="false" outlineLevel="0" max="19" min="19" style="1" width="11.85"/>
    <col collapsed="false" customWidth="true" hidden="false" outlineLevel="0" max="22" min="20" style="1" width="9.14"/>
    <col collapsed="false" customWidth="true" hidden="false" outlineLevel="0" max="25" min="25" style="1" width="10.57"/>
    <col collapsed="false" customWidth="true" hidden="false" outlineLevel="0" max="28" min="28" style="1" width="37.86"/>
    <col collapsed="false" customWidth="true" hidden="false" outlineLevel="0" max="31" min="31" style="1" width="7.42"/>
    <col collapsed="false" customWidth="true" hidden="false" outlineLevel="0" max="32" min="32" style="1" width="11.85"/>
  </cols>
  <sheetData>
    <row r="1" customFormat="false" ht="35.05" hidden="false" customHeight="false" outlineLevel="0" collapsed="false">
      <c r="A1" s="93"/>
      <c r="B1" s="93"/>
      <c r="C1" s="93"/>
      <c r="D1" s="94" t="s">
        <v>150</v>
      </c>
      <c r="E1" s="95" t="s">
        <v>151</v>
      </c>
      <c r="F1" s="95" t="s">
        <v>11</v>
      </c>
      <c r="G1" s="95" t="s">
        <v>12</v>
      </c>
      <c r="H1" s="95" t="s">
        <v>13</v>
      </c>
      <c r="I1" s="95" t="s">
        <v>14</v>
      </c>
      <c r="J1" s="95" t="s">
        <v>15</v>
      </c>
      <c r="K1" s="95" t="s">
        <v>16</v>
      </c>
      <c r="L1" s="95" t="s">
        <v>17</v>
      </c>
      <c r="M1" s="95" t="s">
        <v>18</v>
      </c>
      <c r="N1" s="95" t="s">
        <v>19</v>
      </c>
      <c r="O1" s="95" t="s">
        <v>20</v>
      </c>
      <c r="P1" s="95" t="s">
        <v>21</v>
      </c>
      <c r="Q1" s="95" t="s">
        <v>22</v>
      </c>
      <c r="R1" s="95" t="s">
        <v>152</v>
      </c>
      <c r="S1" s="95" t="s">
        <v>153</v>
      </c>
      <c r="T1" s="95" t="s">
        <v>154</v>
      </c>
      <c r="U1" s="95" t="s">
        <v>155</v>
      </c>
      <c r="V1" s="95" t="s">
        <v>156</v>
      </c>
      <c r="W1" s="95" t="s">
        <v>157</v>
      </c>
      <c r="X1" s="95" t="s">
        <v>158</v>
      </c>
      <c r="Y1" s="96" t="s">
        <v>159</v>
      </c>
      <c r="Z1" s="93"/>
      <c r="AA1" s="93"/>
      <c r="AB1" s="93"/>
      <c r="AC1" s="93"/>
      <c r="AD1" s="93"/>
      <c r="AE1" s="93"/>
      <c r="AF1" s="93"/>
      <c r="AG1" s="93"/>
      <c r="AH1" s="93"/>
    </row>
    <row r="2" customFormat="false" ht="15" hidden="false" customHeight="true" outlineLevel="0" collapsed="false">
      <c r="A2" s="97" t="s">
        <v>160</v>
      </c>
      <c r="B2" s="98" t="n">
        <v>1</v>
      </c>
      <c r="C2" s="99" t="s">
        <v>161</v>
      </c>
      <c r="D2" s="100"/>
      <c r="E2" s="101" t="n">
        <v>4</v>
      </c>
      <c r="F2" s="101" t="n">
        <v>3</v>
      </c>
      <c r="G2" s="101"/>
      <c r="H2" s="101"/>
      <c r="I2" s="101"/>
      <c r="J2" s="101"/>
      <c r="K2" s="101"/>
      <c r="L2" s="101"/>
      <c r="M2" s="101"/>
      <c r="N2" s="101"/>
      <c r="O2" s="101"/>
      <c r="P2" s="101"/>
      <c r="Q2" s="102"/>
      <c r="R2" s="101" t="n">
        <v>2</v>
      </c>
      <c r="S2" s="101"/>
      <c r="T2" s="101"/>
      <c r="U2" s="100" t="n">
        <v>3</v>
      </c>
      <c r="V2" s="101" t="n">
        <v>2</v>
      </c>
      <c r="W2" s="101" t="n">
        <v>2.5</v>
      </c>
      <c r="X2" s="101" t="n">
        <v>0</v>
      </c>
      <c r="Y2" s="102" t="n">
        <f aca="false">SUM(U2:X2)</f>
        <v>7.5</v>
      </c>
      <c r="Z2" s="103"/>
      <c r="AA2" s="103"/>
      <c r="AB2" s="103"/>
      <c r="AC2" s="103"/>
      <c r="AD2" s="103"/>
      <c r="AE2" s="103"/>
      <c r="AF2" s="103"/>
      <c r="AG2" s="103"/>
      <c r="AH2" s="103"/>
    </row>
    <row r="3" customFormat="false" ht="15" hidden="false" customHeight="false" outlineLevel="0" collapsed="false">
      <c r="A3" s="97"/>
      <c r="B3" s="98"/>
      <c r="C3" s="104" t="s">
        <v>162</v>
      </c>
      <c r="D3" s="105"/>
      <c r="E3" s="103"/>
      <c r="F3" s="103" t="n">
        <v>3</v>
      </c>
      <c r="G3" s="103"/>
      <c r="H3" s="103"/>
      <c r="I3" s="103"/>
      <c r="J3" s="103"/>
      <c r="K3" s="103"/>
      <c r="L3" s="103"/>
      <c r="M3" s="103"/>
      <c r="N3" s="103"/>
      <c r="O3" s="103"/>
      <c r="P3" s="103"/>
      <c r="Q3" s="106"/>
      <c r="R3" s="103"/>
      <c r="S3" s="103"/>
      <c r="T3" s="103"/>
      <c r="U3" s="105" t="n">
        <f aca="false">SUM(C3:Q3)</f>
        <v>3</v>
      </c>
      <c r="V3" s="103" t="n">
        <v>2</v>
      </c>
      <c r="W3" s="103" t="n">
        <v>2.5</v>
      </c>
      <c r="X3" s="103" t="n">
        <v>0</v>
      </c>
      <c r="Y3" s="106" t="n">
        <f aca="false">SUM(U3:X3)</f>
        <v>7.5</v>
      </c>
      <c r="Z3" s="103"/>
      <c r="AA3" s="103"/>
      <c r="AB3" s="103"/>
      <c r="AC3" s="103"/>
      <c r="AD3" s="103"/>
      <c r="AE3" s="103"/>
      <c r="AF3" s="103"/>
      <c r="AG3" s="103"/>
      <c r="AH3" s="103"/>
    </row>
    <row r="4" customFormat="false" ht="15" hidden="false" customHeight="false" outlineLevel="0" collapsed="false">
      <c r="A4" s="97"/>
      <c r="B4" s="98"/>
      <c r="C4" s="104" t="s">
        <v>163</v>
      </c>
      <c r="D4" s="105"/>
      <c r="E4" s="103"/>
      <c r="F4" s="103" t="n">
        <v>3</v>
      </c>
      <c r="G4" s="103"/>
      <c r="H4" s="103"/>
      <c r="I4" s="103"/>
      <c r="J4" s="103"/>
      <c r="K4" s="103"/>
      <c r="L4" s="103"/>
      <c r="M4" s="103"/>
      <c r="N4" s="103"/>
      <c r="O4" s="103"/>
      <c r="P4" s="103"/>
      <c r="Q4" s="106"/>
      <c r="R4" s="103"/>
      <c r="S4" s="103"/>
      <c r="T4" s="103"/>
      <c r="U4" s="105" t="n">
        <f aca="false">SUM(C4:Q4)</f>
        <v>3</v>
      </c>
      <c r="V4" s="103" t="n">
        <v>2</v>
      </c>
      <c r="W4" s="103" t="n">
        <v>2.5</v>
      </c>
      <c r="X4" s="103" t="n">
        <v>0</v>
      </c>
      <c r="Y4" s="106" t="n">
        <f aca="false">SUM(U4:X4)</f>
        <v>7.5</v>
      </c>
      <c r="Z4" s="103"/>
      <c r="AA4" s="103"/>
      <c r="AB4" s="103"/>
      <c r="AC4" s="103"/>
      <c r="AD4" s="103"/>
      <c r="AE4" s="103"/>
      <c r="AF4" s="103"/>
      <c r="AG4" s="103"/>
      <c r="AH4" s="103"/>
    </row>
    <row r="5" customFormat="false" ht="15" hidden="false" customHeight="true" outlineLevel="0" collapsed="false">
      <c r="A5" s="97"/>
      <c r="B5" s="98"/>
      <c r="C5" s="104" t="s">
        <v>164</v>
      </c>
      <c r="D5" s="105"/>
      <c r="E5" s="103"/>
      <c r="F5" s="103" t="n">
        <v>3</v>
      </c>
      <c r="G5" s="103"/>
      <c r="H5" s="103"/>
      <c r="I5" s="103"/>
      <c r="J5" s="103"/>
      <c r="K5" s="103"/>
      <c r="L5" s="103"/>
      <c r="M5" s="103"/>
      <c r="N5" s="103"/>
      <c r="O5" s="103"/>
      <c r="P5" s="103"/>
      <c r="Q5" s="106"/>
      <c r="R5" s="103"/>
      <c r="S5" s="103"/>
      <c r="T5" s="103"/>
      <c r="U5" s="105" t="n">
        <f aca="false">SUM(C5:Q5)</f>
        <v>3</v>
      </c>
      <c r="V5" s="103" t="n">
        <v>2</v>
      </c>
      <c r="W5" s="103" t="n">
        <v>2.5</v>
      </c>
      <c r="X5" s="103" t="n">
        <v>2</v>
      </c>
      <c r="Y5" s="106" t="n">
        <f aca="false">SUM(U5:X5)</f>
        <v>9.5</v>
      </c>
      <c r="Z5" s="103"/>
      <c r="AA5" s="103"/>
      <c r="AB5" s="103"/>
      <c r="AC5" s="103"/>
      <c r="AD5" s="103"/>
      <c r="AE5" s="103"/>
      <c r="AF5" s="103"/>
      <c r="AG5" s="103"/>
      <c r="AH5" s="103"/>
    </row>
    <row r="6" customFormat="false" ht="15" hidden="false" customHeight="false" outlineLevel="0" collapsed="false">
      <c r="A6" s="97"/>
      <c r="B6" s="107" t="n">
        <v>2</v>
      </c>
      <c r="C6" s="104" t="s">
        <v>165</v>
      </c>
      <c r="D6" s="105"/>
      <c r="E6" s="103"/>
      <c r="F6" s="103"/>
      <c r="G6" s="103" t="n">
        <v>3</v>
      </c>
      <c r="H6" s="103"/>
      <c r="I6" s="103"/>
      <c r="J6" s="103"/>
      <c r="K6" s="103"/>
      <c r="L6" s="103"/>
      <c r="M6" s="103"/>
      <c r="N6" s="103"/>
      <c r="O6" s="103"/>
      <c r="P6" s="103"/>
      <c r="Q6" s="106"/>
      <c r="R6" s="103" t="n">
        <v>2</v>
      </c>
      <c r="S6" s="103"/>
      <c r="T6" s="103"/>
      <c r="U6" s="105" t="n">
        <f aca="false">SUM(C6:Q6)</f>
        <v>3</v>
      </c>
      <c r="V6" s="103" t="n">
        <v>2</v>
      </c>
      <c r="W6" s="103" t="n">
        <v>2.5</v>
      </c>
      <c r="X6" s="103" t="n">
        <v>0</v>
      </c>
      <c r="Y6" s="106" t="n">
        <f aca="false">SUM(U6:X6)</f>
        <v>7.5</v>
      </c>
      <c r="Z6" s="103"/>
      <c r="AA6" s="103"/>
      <c r="AB6" s="103"/>
      <c r="AC6" s="103"/>
      <c r="AD6" s="103"/>
      <c r="AE6" s="103"/>
      <c r="AF6" s="103"/>
      <c r="AG6" s="103"/>
      <c r="AH6" s="103"/>
    </row>
    <row r="7" customFormat="false" ht="15" hidden="false" customHeight="false" outlineLevel="0" collapsed="false">
      <c r="A7" s="97"/>
      <c r="B7" s="107"/>
      <c r="C7" s="104" t="s">
        <v>166</v>
      </c>
      <c r="D7" s="105"/>
      <c r="E7" s="103"/>
      <c r="F7" s="103"/>
      <c r="G7" s="103" t="n">
        <v>3</v>
      </c>
      <c r="H7" s="103"/>
      <c r="I7" s="103"/>
      <c r="J7" s="103"/>
      <c r="K7" s="103"/>
      <c r="L7" s="103"/>
      <c r="M7" s="103"/>
      <c r="N7" s="103"/>
      <c r="O7" s="103"/>
      <c r="P7" s="103"/>
      <c r="Q7" s="106"/>
      <c r="R7" s="103"/>
      <c r="S7" s="103"/>
      <c r="T7" s="103"/>
      <c r="U7" s="105" t="n">
        <f aca="false">SUM(C7:Q7)</f>
        <v>3</v>
      </c>
      <c r="V7" s="103" t="n">
        <v>2</v>
      </c>
      <c r="W7" s="103" t="n">
        <v>2.5</v>
      </c>
      <c r="X7" s="103" t="n">
        <v>0</v>
      </c>
      <c r="Y7" s="106" t="n">
        <f aca="false">SUM(U7:X7)</f>
        <v>7.5</v>
      </c>
      <c r="Z7" s="103"/>
      <c r="AA7" s="103"/>
      <c r="AB7" s="103"/>
      <c r="AC7" s="103"/>
      <c r="AD7" s="103"/>
      <c r="AE7" s="103"/>
      <c r="AF7" s="103"/>
      <c r="AG7" s="103"/>
      <c r="AH7" s="103"/>
    </row>
    <row r="8" customFormat="false" ht="15" hidden="false" customHeight="true" outlineLevel="0" collapsed="false">
      <c r="A8" s="97"/>
      <c r="B8" s="107"/>
      <c r="C8" s="104" t="s">
        <v>167</v>
      </c>
      <c r="D8" s="105"/>
      <c r="E8" s="103"/>
      <c r="G8" s="103" t="n">
        <v>3</v>
      </c>
      <c r="H8" s="103"/>
      <c r="I8" s="103"/>
      <c r="J8" s="103"/>
      <c r="K8" s="103"/>
      <c r="L8" s="103"/>
      <c r="M8" s="103"/>
      <c r="N8" s="103"/>
      <c r="O8" s="103"/>
      <c r="P8" s="103"/>
      <c r="Q8" s="106"/>
      <c r="R8" s="103"/>
      <c r="S8" s="103"/>
      <c r="T8" s="103"/>
      <c r="U8" s="105" t="n">
        <f aca="false">SUM(C8:Q8)</f>
        <v>3</v>
      </c>
      <c r="V8" s="103" t="n">
        <v>2</v>
      </c>
      <c r="W8" s="103" t="n">
        <v>2.5</v>
      </c>
      <c r="X8" s="103" t="n">
        <v>0</v>
      </c>
      <c r="Y8" s="106" t="n">
        <f aca="false">SUM(U8:X8)</f>
        <v>7.5</v>
      </c>
      <c r="Z8" s="103"/>
      <c r="AA8" s="103"/>
      <c r="AB8" s="103"/>
      <c r="AC8" s="103"/>
      <c r="AD8" s="103"/>
      <c r="AE8" s="103"/>
      <c r="AF8" s="103"/>
      <c r="AG8" s="103"/>
      <c r="AH8" s="103"/>
    </row>
    <row r="9" customFormat="false" ht="15" hidden="false" customHeight="false" outlineLevel="0" collapsed="false">
      <c r="A9" s="97"/>
      <c r="B9" s="107"/>
      <c r="C9" s="104" t="s">
        <v>168</v>
      </c>
      <c r="D9" s="105"/>
      <c r="E9" s="103"/>
      <c r="G9" s="103" t="n">
        <v>3</v>
      </c>
      <c r="H9" s="103"/>
      <c r="I9" s="103"/>
      <c r="J9" s="103"/>
      <c r="K9" s="103"/>
      <c r="L9" s="103"/>
      <c r="M9" s="103"/>
      <c r="N9" s="103"/>
      <c r="O9" s="103"/>
      <c r="P9" s="103"/>
      <c r="Q9" s="106"/>
      <c r="R9" s="103"/>
      <c r="S9" s="103"/>
      <c r="T9" s="103"/>
      <c r="U9" s="105" t="n">
        <f aca="false">SUM(C9:Q9)</f>
        <v>3</v>
      </c>
      <c r="V9" s="103" t="n">
        <v>2</v>
      </c>
      <c r="W9" s="103" t="n">
        <v>2.5</v>
      </c>
      <c r="X9" s="103" t="n">
        <v>0</v>
      </c>
      <c r="Y9" s="106" t="n">
        <f aca="false">SUM(U9:X9)</f>
        <v>7.5</v>
      </c>
      <c r="Z9" s="103"/>
      <c r="AA9" s="103"/>
      <c r="AB9" s="103" t="s">
        <v>169</v>
      </c>
      <c r="AC9" s="103" t="n">
        <f aca="false">E2</f>
        <v>4</v>
      </c>
      <c r="AD9" s="103"/>
      <c r="AE9" s="103"/>
      <c r="AF9" s="103"/>
      <c r="AG9" s="103"/>
      <c r="AH9" s="103"/>
    </row>
    <row r="10" customFormat="false" ht="15" hidden="false" customHeight="false" outlineLevel="0" collapsed="false">
      <c r="A10" s="97"/>
      <c r="B10" s="107" t="n">
        <v>3</v>
      </c>
      <c r="C10" s="104" t="s">
        <v>170</v>
      </c>
      <c r="D10" s="105"/>
      <c r="E10" s="103"/>
      <c r="G10" s="103" t="n">
        <v>3</v>
      </c>
      <c r="H10" s="103"/>
      <c r="I10" s="103"/>
      <c r="J10" s="103"/>
      <c r="K10" s="103"/>
      <c r="L10" s="103"/>
      <c r="M10" s="103"/>
      <c r="N10" s="103"/>
      <c r="O10" s="103"/>
      <c r="P10" s="103"/>
      <c r="Q10" s="106"/>
      <c r="R10" s="103" t="n">
        <v>2</v>
      </c>
      <c r="S10" s="103"/>
      <c r="T10" s="103"/>
      <c r="U10" s="105" t="n">
        <f aca="false">SUM(C10:Q10)</f>
        <v>3</v>
      </c>
      <c r="V10" s="103" t="n">
        <v>2</v>
      </c>
      <c r="W10" s="103" t="n">
        <v>2.5</v>
      </c>
      <c r="X10" s="103" t="n">
        <v>2</v>
      </c>
      <c r="Y10" s="106" t="n">
        <f aca="false">SUM(U10:X10)</f>
        <v>9.5</v>
      </c>
      <c r="Z10" s="103"/>
      <c r="AA10" s="103"/>
      <c r="AB10" s="108" t="s">
        <v>171</v>
      </c>
      <c r="AC10" s="103"/>
      <c r="AD10" s="103"/>
      <c r="AE10" s="103"/>
      <c r="AF10" s="103" t="s">
        <v>172</v>
      </c>
      <c r="AG10" s="103"/>
      <c r="AH10" s="103"/>
    </row>
    <row r="11" customFormat="false" ht="15" hidden="false" customHeight="false" outlineLevel="0" collapsed="false">
      <c r="A11" s="97"/>
      <c r="B11" s="107"/>
      <c r="C11" s="104" t="s">
        <v>173</v>
      </c>
      <c r="D11" s="105"/>
      <c r="E11" s="103"/>
      <c r="G11" s="103"/>
      <c r="H11" s="103" t="n">
        <v>3</v>
      </c>
      <c r="I11" s="103"/>
      <c r="J11" s="103"/>
      <c r="K11" s="103"/>
      <c r="L11" s="103"/>
      <c r="M11" s="103"/>
      <c r="N11" s="103"/>
      <c r="O11" s="103"/>
      <c r="P11" s="103"/>
      <c r="Q11" s="106"/>
      <c r="R11" s="103"/>
      <c r="S11" s="103"/>
      <c r="T11" s="103"/>
      <c r="U11" s="105" t="n">
        <f aca="false">SUM(C11:Q11)</f>
        <v>3</v>
      </c>
      <c r="V11" s="103" t="n">
        <v>2</v>
      </c>
      <c r="W11" s="103" t="n">
        <v>2.5</v>
      </c>
      <c r="X11" s="103" t="n">
        <v>0</v>
      </c>
      <c r="Y11" s="106" t="n">
        <f aca="false">SUM(U11:X11)</f>
        <v>7.5</v>
      </c>
      <c r="Z11" s="103"/>
      <c r="AA11" s="103"/>
      <c r="AB11" s="109" t="s">
        <v>174</v>
      </c>
      <c r="AC11" s="110" t="n">
        <f aca="false">Y79+AC9</f>
        <v>487</v>
      </c>
      <c r="AD11" s="103"/>
      <c r="AE11" s="103"/>
      <c r="AF11" s="103"/>
      <c r="AG11" s="103"/>
      <c r="AH11" s="103"/>
    </row>
    <row r="12" customFormat="false" ht="15" hidden="false" customHeight="false" outlineLevel="0" collapsed="false">
      <c r="A12" s="97"/>
      <c r="B12" s="107"/>
      <c r="C12" s="104" t="s">
        <v>175</v>
      </c>
      <c r="D12" s="105"/>
      <c r="E12" s="103"/>
      <c r="G12" s="103"/>
      <c r="H12" s="103" t="n">
        <v>3</v>
      </c>
      <c r="I12" s="103"/>
      <c r="J12" s="103"/>
      <c r="K12" s="103"/>
      <c r="L12" s="103"/>
      <c r="M12" s="103"/>
      <c r="N12" s="103"/>
      <c r="O12" s="103"/>
      <c r="P12" s="103"/>
      <c r="Q12" s="106"/>
      <c r="R12" s="103"/>
      <c r="S12" s="103"/>
      <c r="T12" s="103"/>
      <c r="U12" s="105" t="n">
        <f aca="false">SUM(C12:Q12)</f>
        <v>3</v>
      </c>
      <c r="V12" s="103" t="n">
        <v>2</v>
      </c>
      <c r="W12" s="103" t="n">
        <v>2.5</v>
      </c>
      <c r="X12" s="103" t="n">
        <v>0</v>
      </c>
      <c r="Y12" s="106" t="n">
        <f aca="false">SUM(U12:X12)</f>
        <v>7.5</v>
      </c>
      <c r="Z12" s="103"/>
      <c r="AA12" s="103"/>
      <c r="AB12" s="103"/>
      <c r="AC12" s="111" t="s">
        <v>176</v>
      </c>
      <c r="AD12" s="111" t="s">
        <v>177</v>
      </c>
      <c r="AE12" s="112" t="s">
        <v>178</v>
      </c>
      <c r="AF12" s="112" t="s">
        <v>179</v>
      </c>
      <c r="AG12" s="103"/>
      <c r="AH12" s="103"/>
    </row>
    <row r="13" customFormat="false" ht="15" hidden="false" customHeight="false" outlineLevel="0" collapsed="false">
      <c r="A13" s="97"/>
      <c r="B13" s="107"/>
      <c r="C13" s="104" t="s">
        <v>180</v>
      </c>
      <c r="D13" s="105"/>
      <c r="E13" s="103"/>
      <c r="F13" s="103"/>
      <c r="G13" s="103"/>
      <c r="H13" s="103" t="n">
        <v>3</v>
      </c>
      <c r="I13" s="103"/>
      <c r="J13" s="103"/>
      <c r="K13" s="103"/>
      <c r="L13" s="103"/>
      <c r="M13" s="103"/>
      <c r="N13" s="103"/>
      <c r="O13" s="103"/>
      <c r="P13" s="103"/>
      <c r="Q13" s="106"/>
      <c r="R13" s="103"/>
      <c r="S13" s="113" t="s">
        <v>181</v>
      </c>
      <c r="T13" s="103"/>
      <c r="U13" s="105" t="n">
        <f aca="false">SUM(C13:Q13)</f>
        <v>3</v>
      </c>
      <c r="V13" s="103" t="n">
        <v>2</v>
      </c>
      <c r="W13" s="103" t="n">
        <v>2.5</v>
      </c>
      <c r="X13" s="103" t="n">
        <v>0</v>
      </c>
      <c r="Y13" s="106" t="n">
        <f aca="false">SUM(U13:X13)</f>
        <v>7.5</v>
      </c>
      <c r="Z13" s="103"/>
      <c r="AA13" s="103"/>
      <c r="AB13" s="114" t="s">
        <v>11</v>
      </c>
      <c r="AC13" s="115" t="n">
        <f aca="false">F78</f>
        <v>12</v>
      </c>
      <c r="AD13" s="116" t="n">
        <f aca="false">AC13/$AC$11</f>
        <v>0.0246406570841889</v>
      </c>
      <c r="AE13" s="116" t="n">
        <f aca="false">AD13</f>
        <v>0.0246406570841889</v>
      </c>
      <c r="AF13" s="115" t="n">
        <v>2</v>
      </c>
      <c r="AG13" s="117"/>
      <c r="AH13" s="103"/>
    </row>
    <row r="14" customFormat="false" ht="15" hidden="false" customHeight="false" outlineLevel="0" collapsed="false">
      <c r="A14" s="97"/>
      <c r="B14" s="107" t="n">
        <v>4</v>
      </c>
      <c r="C14" s="104" t="s">
        <v>182</v>
      </c>
      <c r="D14" s="105"/>
      <c r="E14" s="103"/>
      <c r="G14" s="103"/>
      <c r="H14" s="103" t="n">
        <v>3</v>
      </c>
      <c r="I14" s="103"/>
      <c r="J14" s="103"/>
      <c r="K14" s="103"/>
      <c r="L14" s="103"/>
      <c r="M14" s="103"/>
      <c r="N14" s="103"/>
      <c r="O14" s="103"/>
      <c r="P14" s="103"/>
      <c r="Q14" s="106"/>
      <c r="R14" s="103" t="n">
        <v>2</v>
      </c>
      <c r="S14" s="103"/>
      <c r="T14" s="103"/>
      <c r="U14" s="105" t="n">
        <f aca="false">SUM(C14:Q14)</f>
        <v>3</v>
      </c>
      <c r="V14" s="103" t="n">
        <v>2</v>
      </c>
      <c r="W14" s="103" t="n">
        <v>2.5</v>
      </c>
      <c r="X14" s="103" t="n">
        <v>0</v>
      </c>
      <c r="Y14" s="106" t="n">
        <f aca="false">SUM(U14:X14)</f>
        <v>7.5</v>
      </c>
      <c r="Z14" s="103"/>
      <c r="AA14" s="103"/>
      <c r="AB14" s="114" t="s">
        <v>12</v>
      </c>
      <c r="AC14" s="115" t="n">
        <f aca="false">G78</f>
        <v>15</v>
      </c>
      <c r="AD14" s="116" t="n">
        <f aca="false">AC14/$AC$11</f>
        <v>0.0308008213552361</v>
      </c>
      <c r="AE14" s="116" t="n">
        <f aca="false">AE13+AD14</f>
        <v>0.0554414784394251</v>
      </c>
      <c r="AF14" s="115" t="n">
        <v>2</v>
      </c>
      <c r="AG14" s="117"/>
      <c r="AH14" s="103"/>
    </row>
    <row r="15" customFormat="false" ht="15" hidden="false" customHeight="false" outlineLevel="0" collapsed="false">
      <c r="A15" s="97"/>
      <c r="B15" s="107"/>
      <c r="C15" s="104" t="s">
        <v>183</v>
      </c>
      <c r="D15" s="105"/>
      <c r="E15" s="103"/>
      <c r="G15" s="103"/>
      <c r="H15" s="103" t="n">
        <v>3</v>
      </c>
      <c r="I15" s="103"/>
      <c r="J15" s="103"/>
      <c r="K15" s="103"/>
      <c r="L15" s="103"/>
      <c r="M15" s="103"/>
      <c r="N15" s="103"/>
      <c r="O15" s="103"/>
      <c r="P15" s="103"/>
      <c r="Q15" s="106"/>
      <c r="R15" s="103"/>
      <c r="S15" s="103"/>
      <c r="T15" s="103"/>
      <c r="U15" s="105" t="n">
        <f aca="false">SUM(C15:Q15)</f>
        <v>3</v>
      </c>
      <c r="V15" s="103" t="n">
        <v>2</v>
      </c>
      <c r="W15" s="103" t="n">
        <v>2.5</v>
      </c>
      <c r="X15" s="103" t="n">
        <v>0</v>
      </c>
      <c r="Y15" s="106" t="n">
        <f aca="false">SUM(U15:X15)</f>
        <v>7.5</v>
      </c>
      <c r="Z15" s="103"/>
      <c r="AA15" s="103"/>
      <c r="AB15" s="114" t="s">
        <v>13</v>
      </c>
      <c r="AC15" s="115" t="n">
        <f aca="false">H78</f>
        <v>27</v>
      </c>
      <c r="AD15" s="116" t="n">
        <f aca="false">AC15/$AC$11</f>
        <v>0.0554414784394251</v>
      </c>
      <c r="AE15" s="116" t="n">
        <f aca="false">AE14+AD15</f>
        <v>0.11088295687885</v>
      </c>
      <c r="AF15" s="115" t="n">
        <v>2</v>
      </c>
      <c r="AG15" s="117"/>
      <c r="AH15" s="103"/>
    </row>
    <row r="16" customFormat="false" ht="15" hidden="false" customHeight="false" outlineLevel="0" collapsed="false">
      <c r="A16" s="97"/>
      <c r="B16" s="107"/>
      <c r="C16" s="104" t="s">
        <v>184</v>
      </c>
      <c r="D16" s="105"/>
      <c r="E16" s="103"/>
      <c r="G16" s="103"/>
      <c r="H16" s="103" t="n">
        <v>3</v>
      </c>
      <c r="I16" s="103"/>
      <c r="J16" s="103"/>
      <c r="K16" s="103"/>
      <c r="L16" s="103"/>
      <c r="M16" s="103"/>
      <c r="N16" s="103"/>
      <c r="O16" s="103"/>
      <c r="P16" s="103"/>
      <c r="Q16" s="106"/>
      <c r="R16" s="103"/>
      <c r="S16" s="103"/>
      <c r="T16" s="103"/>
      <c r="U16" s="105" t="n">
        <f aca="false">SUM(C16:Q16)</f>
        <v>3</v>
      </c>
      <c r="V16" s="103" t="n">
        <v>2</v>
      </c>
      <c r="W16" s="103" t="n">
        <v>2.5</v>
      </c>
      <c r="X16" s="103" t="n">
        <v>0</v>
      </c>
      <c r="Y16" s="106" t="n">
        <f aca="false">SUM(U16:X16)</f>
        <v>7.5</v>
      </c>
      <c r="Z16" s="103"/>
      <c r="AA16" s="103"/>
      <c r="AB16" s="114" t="s">
        <v>14</v>
      </c>
      <c r="AC16" s="115" t="n">
        <f aca="false">I78</f>
        <v>12</v>
      </c>
      <c r="AD16" s="116" t="n">
        <f aca="false">AC16/$AC$11</f>
        <v>0.0246406570841889</v>
      </c>
      <c r="AE16" s="116" t="n">
        <f aca="false">AE15+AD16</f>
        <v>0.135523613963039</v>
      </c>
      <c r="AF16" s="115" t="n">
        <v>2</v>
      </c>
      <c r="AG16" s="117"/>
      <c r="AH16" s="103"/>
    </row>
    <row r="17" customFormat="false" ht="15" hidden="false" customHeight="false" outlineLevel="0" collapsed="false">
      <c r="A17" s="97"/>
      <c r="B17" s="107"/>
      <c r="C17" s="104" t="s">
        <v>185</v>
      </c>
      <c r="D17" s="105"/>
      <c r="E17" s="103"/>
      <c r="G17" s="103"/>
      <c r="H17" s="103" t="n">
        <v>6</v>
      </c>
      <c r="I17" s="103"/>
      <c r="J17" s="103"/>
      <c r="K17" s="103"/>
      <c r="L17" s="103"/>
      <c r="M17" s="103"/>
      <c r="N17" s="103"/>
      <c r="O17" s="103"/>
      <c r="P17" s="103"/>
      <c r="Q17" s="106"/>
      <c r="R17" s="103"/>
      <c r="S17" s="103"/>
      <c r="T17" s="103"/>
      <c r="U17" s="105" t="n">
        <f aca="false">SUM(C17:Q17)</f>
        <v>6</v>
      </c>
      <c r="V17" s="103" t="n">
        <v>2</v>
      </c>
      <c r="W17" s="103" t="n">
        <v>2.5</v>
      </c>
      <c r="X17" s="103" t="n">
        <v>0</v>
      </c>
      <c r="Y17" s="106" t="n">
        <f aca="false">SUM(U17:X17)</f>
        <v>10.5</v>
      </c>
      <c r="Z17" s="103"/>
      <c r="AA17" s="103"/>
      <c r="AB17" s="114" t="s">
        <v>15</v>
      </c>
      <c r="AC17" s="115" t="n">
        <f aca="false">J78</f>
        <v>24</v>
      </c>
      <c r="AD17" s="116" t="n">
        <f aca="false">AC17/$AC$11</f>
        <v>0.0492813141683778</v>
      </c>
      <c r="AE17" s="116" t="n">
        <f aca="false">AE16+AD17</f>
        <v>0.184804928131417</v>
      </c>
      <c r="AF17" s="115" t="n">
        <v>2</v>
      </c>
      <c r="AG17" s="117"/>
      <c r="AH17" s="103"/>
    </row>
    <row r="18" customFormat="false" ht="15" hidden="false" customHeight="false" outlineLevel="0" collapsed="false">
      <c r="A18" s="97"/>
      <c r="B18" s="107" t="n">
        <v>5</v>
      </c>
      <c r="C18" s="104" t="s">
        <v>186</v>
      </c>
      <c r="D18" s="105"/>
      <c r="E18" s="103"/>
      <c r="G18" s="103"/>
      <c r="H18" s="103" t="n">
        <v>3</v>
      </c>
      <c r="I18" s="103"/>
      <c r="J18" s="103"/>
      <c r="K18" s="103"/>
      <c r="L18" s="103"/>
      <c r="M18" s="103"/>
      <c r="N18" s="103"/>
      <c r="O18" s="103"/>
      <c r="P18" s="103"/>
      <c r="Q18" s="106"/>
      <c r="R18" s="103" t="n">
        <v>2</v>
      </c>
      <c r="S18" s="103"/>
      <c r="T18" s="103"/>
      <c r="U18" s="105" t="n">
        <f aca="false">SUM(C18:Q18)</f>
        <v>3</v>
      </c>
      <c r="V18" s="103" t="n">
        <v>2</v>
      </c>
      <c r="W18" s="103" t="n">
        <v>2.5</v>
      </c>
      <c r="X18" s="103" t="n">
        <v>2</v>
      </c>
      <c r="Y18" s="106" t="n">
        <f aca="false">SUM(U18:X18)</f>
        <v>9.5</v>
      </c>
      <c r="Z18" s="103"/>
      <c r="AA18" s="103"/>
      <c r="AB18" s="114" t="s">
        <v>16</v>
      </c>
      <c r="AC18" s="115" t="n">
        <f aca="false">K78</f>
        <v>9</v>
      </c>
      <c r="AD18" s="116" t="n">
        <f aca="false">AC18/$AC$11</f>
        <v>0.0184804928131417</v>
      </c>
      <c r="AE18" s="116" t="n">
        <f aca="false">AE17+AD18</f>
        <v>0.203285420944559</v>
      </c>
      <c r="AF18" s="115" t="n">
        <v>2</v>
      </c>
      <c r="AG18" s="117"/>
      <c r="AH18" s="103"/>
    </row>
    <row r="19" customFormat="false" ht="15" hidden="false" customHeight="false" outlineLevel="0" collapsed="false">
      <c r="A19" s="97"/>
      <c r="B19" s="107"/>
      <c r="C19" s="104" t="s">
        <v>187</v>
      </c>
      <c r="D19" s="105"/>
      <c r="E19" s="103"/>
      <c r="F19" s="103"/>
      <c r="G19" s="103"/>
      <c r="H19" s="103"/>
      <c r="I19" s="103" t="n">
        <v>3</v>
      </c>
      <c r="J19" s="103"/>
      <c r="K19" s="103"/>
      <c r="L19" s="103"/>
      <c r="M19" s="103"/>
      <c r="N19" s="103"/>
      <c r="O19" s="103"/>
      <c r="P19" s="103"/>
      <c r="Q19" s="106"/>
      <c r="R19" s="103"/>
      <c r="S19" s="103"/>
      <c r="T19" s="103"/>
      <c r="U19" s="105" t="n">
        <f aca="false">SUM(C19:Q19)</f>
        <v>3</v>
      </c>
      <c r="V19" s="103" t="n">
        <v>2</v>
      </c>
      <c r="W19" s="103" t="n">
        <v>2.5</v>
      </c>
      <c r="X19" s="103" t="n">
        <v>0</v>
      </c>
      <c r="Y19" s="106" t="n">
        <f aca="false">SUM(U19:X19)</f>
        <v>7.5</v>
      </c>
      <c r="Z19" s="103"/>
      <c r="AA19" s="103"/>
      <c r="AB19" s="114" t="s">
        <v>17</v>
      </c>
      <c r="AC19" s="115" t="n">
        <f aca="false">L78</f>
        <v>12</v>
      </c>
      <c r="AD19" s="116" t="n">
        <f aca="false">AC19/$AC$11</f>
        <v>0.0246406570841889</v>
      </c>
      <c r="AE19" s="116" t="n">
        <f aca="false">AE18+AD19</f>
        <v>0.227926078028747</v>
      </c>
      <c r="AF19" s="115" t="n">
        <v>2</v>
      </c>
      <c r="AG19" s="117"/>
      <c r="AH19" s="103"/>
    </row>
    <row r="20" customFormat="false" ht="15" hidden="false" customHeight="false" outlineLevel="0" collapsed="false">
      <c r="A20" s="97"/>
      <c r="B20" s="107"/>
      <c r="C20" s="104" t="s">
        <v>188</v>
      </c>
      <c r="D20" s="105"/>
      <c r="E20" s="103"/>
      <c r="F20" s="103"/>
      <c r="G20" s="103"/>
      <c r="H20" s="103"/>
      <c r="I20" s="103" t="n">
        <v>3</v>
      </c>
      <c r="J20" s="103"/>
      <c r="K20" s="103"/>
      <c r="L20" s="103"/>
      <c r="M20" s="103"/>
      <c r="N20" s="103"/>
      <c r="O20" s="103"/>
      <c r="P20" s="103"/>
      <c r="Q20" s="106"/>
      <c r="R20" s="103"/>
      <c r="T20" s="103"/>
      <c r="U20" s="105" t="n">
        <f aca="false">SUM(C20:Q20)</f>
        <v>3</v>
      </c>
      <c r="V20" s="103" t="n">
        <v>2</v>
      </c>
      <c r="W20" s="103" t="n">
        <v>2.5</v>
      </c>
      <c r="X20" s="103" t="n">
        <v>0</v>
      </c>
      <c r="Y20" s="106" t="n">
        <f aca="false">SUM(U20:X20)</f>
        <v>7.5</v>
      </c>
      <c r="Z20" s="103"/>
      <c r="AA20" s="103"/>
      <c r="AB20" s="114" t="s">
        <v>18</v>
      </c>
      <c r="AC20" s="115" t="n">
        <f aca="false">M78</f>
        <v>21</v>
      </c>
      <c r="AD20" s="116" t="n">
        <f aca="false">AC20/$AC$11</f>
        <v>0.0431211498973306</v>
      </c>
      <c r="AE20" s="116" t="n">
        <f aca="false">AE19+AD20</f>
        <v>0.271047227926078</v>
      </c>
      <c r="AF20" s="115" t="n">
        <v>2</v>
      </c>
      <c r="AG20" s="117"/>
      <c r="AH20" s="103"/>
    </row>
    <row r="21" customFormat="false" ht="15" hidden="false" customHeight="false" outlineLevel="0" collapsed="false">
      <c r="A21" s="97"/>
      <c r="B21" s="107"/>
      <c r="C21" s="104" t="s">
        <v>189</v>
      </c>
      <c r="D21" s="105"/>
      <c r="E21" s="103"/>
      <c r="F21" s="103"/>
      <c r="G21" s="103"/>
      <c r="H21" s="103"/>
      <c r="I21" s="103" t="n">
        <v>3</v>
      </c>
      <c r="J21" s="103"/>
      <c r="K21" s="103"/>
      <c r="L21" s="103"/>
      <c r="M21" s="103"/>
      <c r="N21" s="103"/>
      <c r="O21" s="103"/>
      <c r="P21" s="103"/>
      <c r="Q21" s="106"/>
      <c r="R21" s="103"/>
      <c r="S21" s="103"/>
      <c r="T21" s="103"/>
      <c r="U21" s="105" t="n">
        <f aca="false">SUM(C21:Q21)</f>
        <v>3</v>
      </c>
      <c r="V21" s="103" t="n">
        <v>2</v>
      </c>
      <c r="W21" s="103" t="n">
        <v>2.5</v>
      </c>
      <c r="X21" s="103" t="n">
        <v>0</v>
      </c>
      <c r="Y21" s="106" t="n">
        <f aca="false">SUM(U21:X21)</f>
        <v>7.5</v>
      </c>
      <c r="Z21" s="103"/>
      <c r="AA21" s="103"/>
      <c r="AB21" s="114" t="s">
        <v>19</v>
      </c>
      <c r="AC21" s="115" t="n">
        <f aca="false">N78</f>
        <v>18</v>
      </c>
      <c r="AD21" s="116" t="n">
        <f aca="false">AC21/$AC$11</f>
        <v>0.0369609856262834</v>
      </c>
      <c r="AE21" s="116" t="n">
        <f aca="false">AE20+AD21</f>
        <v>0.308008213552361</v>
      </c>
      <c r="AF21" s="115" t="n">
        <v>2</v>
      </c>
      <c r="AG21" s="117"/>
    </row>
    <row r="22" customFormat="false" ht="15" hidden="false" customHeight="false" outlineLevel="0" collapsed="false">
      <c r="A22" s="97"/>
      <c r="B22" s="107" t="n">
        <v>6</v>
      </c>
      <c r="C22" s="104" t="s">
        <v>190</v>
      </c>
      <c r="D22" s="105"/>
      <c r="E22" s="103"/>
      <c r="F22" s="103"/>
      <c r="G22" s="103"/>
      <c r="H22" s="103"/>
      <c r="I22" s="103" t="n">
        <v>3</v>
      </c>
      <c r="J22" s="103"/>
      <c r="K22" s="103"/>
      <c r="L22" s="103"/>
      <c r="M22" s="103"/>
      <c r="N22" s="103"/>
      <c r="O22" s="103"/>
      <c r="P22" s="103"/>
      <c r="Q22" s="106"/>
      <c r="R22" s="103" t="n">
        <v>2</v>
      </c>
      <c r="T22" s="103"/>
      <c r="U22" s="105" t="n">
        <f aca="false">SUM(C22:Q22)</f>
        <v>3</v>
      </c>
      <c r="V22" s="103" t="n">
        <v>2</v>
      </c>
      <c r="W22" s="103" t="n">
        <v>2.5</v>
      </c>
      <c r="X22" s="103" t="n">
        <v>0</v>
      </c>
      <c r="Y22" s="106" t="n">
        <f aca="false">SUM(U22:X22)</f>
        <v>7.5</v>
      </c>
      <c r="Z22" s="103"/>
      <c r="AA22" s="103"/>
      <c r="AB22" s="114" t="s">
        <v>20</v>
      </c>
      <c r="AC22" s="115" t="n">
        <f aca="false">O78</f>
        <v>15</v>
      </c>
      <c r="AD22" s="116" t="n">
        <f aca="false">AC22/$AC$11</f>
        <v>0.0308008213552361</v>
      </c>
      <c r="AE22" s="116" t="n">
        <f aca="false">AE21+AD22</f>
        <v>0.338809034907598</v>
      </c>
      <c r="AF22" s="115" t="n">
        <v>2</v>
      </c>
      <c r="AG22" s="117"/>
    </row>
    <row r="23" customFormat="false" ht="15" hidden="false" customHeight="false" outlineLevel="0" collapsed="false">
      <c r="A23" s="97"/>
      <c r="B23" s="107"/>
      <c r="C23" s="104" t="s">
        <v>191</v>
      </c>
      <c r="D23" s="105"/>
      <c r="E23" s="103"/>
      <c r="F23" s="103"/>
      <c r="G23" s="103"/>
      <c r="H23" s="103"/>
      <c r="I23" s="103"/>
      <c r="J23" s="103" t="n">
        <v>6</v>
      </c>
      <c r="K23" s="103"/>
      <c r="L23" s="103"/>
      <c r="M23" s="103"/>
      <c r="N23" s="103"/>
      <c r="O23" s="103"/>
      <c r="P23" s="103"/>
      <c r="Q23" s="106"/>
      <c r="R23" s="103"/>
      <c r="S23" s="113" t="s">
        <v>181</v>
      </c>
      <c r="T23" s="103"/>
      <c r="U23" s="105" t="n">
        <f aca="false">SUM(C23:Q23)</f>
        <v>6</v>
      </c>
      <c r="V23" s="103" t="n">
        <v>2</v>
      </c>
      <c r="W23" s="103" t="n">
        <v>2.5</v>
      </c>
      <c r="X23" s="103" t="n">
        <v>2</v>
      </c>
      <c r="Y23" s="106" t="n">
        <f aca="false">SUM(U23:X23)</f>
        <v>12.5</v>
      </c>
      <c r="Z23" s="103"/>
      <c r="AA23" s="103"/>
      <c r="AB23" s="114" t="s">
        <v>21</v>
      </c>
      <c r="AC23" s="115" t="n">
        <f aca="false">P78</f>
        <v>15</v>
      </c>
      <c r="AD23" s="116" t="n">
        <f aca="false">AC23/$AC$11</f>
        <v>0.0308008213552361</v>
      </c>
      <c r="AE23" s="116" t="n">
        <f aca="false">AE22+AD23</f>
        <v>0.369609856262834</v>
      </c>
      <c r="AF23" s="115" t="n">
        <v>2</v>
      </c>
      <c r="AG23" s="117"/>
    </row>
    <row r="24" customFormat="false" ht="15" hidden="false" customHeight="false" outlineLevel="0" collapsed="false">
      <c r="A24" s="97"/>
      <c r="B24" s="107"/>
      <c r="C24" s="104" t="s">
        <v>192</v>
      </c>
      <c r="D24" s="105"/>
      <c r="E24" s="103"/>
      <c r="F24" s="103"/>
      <c r="G24" s="103"/>
      <c r="H24" s="103"/>
      <c r="I24" s="103"/>
      <c r="J24" s="103" t="n">
        <v>3</v>
      </c>
      <c r="K24" s="103"/>
      <c r="L24" s="103"/>
      <c r="M24" s="103"/>
      <c r="N24" s="103"/>
      <c r="O24" s="103"/>
      <c r="P24" s="103"/>
      <c r="Q24" s="106"/>
      <c r="R24" s="103"/>
      <c r="T24" s="103"/>
      <c r="U24" s="105" t="n">
        <f aca="false">SUM(C24:Q24)</f>
        <v>3</v>
      </c>
      <c r="V24" s="103" t="n">
        <v>2</v>
      </c>
      <c r="W24" s="103" t="n">
        <v>2.5</v>
      </c>
      <c r="X24" s="103" t="n">
        <v>0</v>
      </c>
      <c r="Y24" s="106" t="n">
        <f aca="false">SUM(U24:X24)</f>
        <v>7.5</v>
      </c>
      <c r="Z24" s="103"/>
      <c r="AA24" s="103"/>
      <c r="AB24" s="114" t="s">
        <v>22</v>
      </c>
      <c r="AC24" s="118" t="n">
        <v>11</v>
      </c>
      <c r="AD24" s="116" t="n">
        <f aca="false">AC24/$AC$11</f>
        <v>0.0225872689938398</v>
      </c>
      <c r="AE24" s="119" t="n">
        <f aca="false">AE23+AD24</f>
        <v>0.392197125256674</v>
      </c>
      <c r="AF24" s="115" t="n">
        <v>2</v>
      </c>
      <c r="AG24" s="117"/>
    </row>
    <row r="25" customFormat="false" ht="15" hidden="false" customHeight="false" outlineLevel="0" collapsed="false">
      <c r="A25" s="97"/>
      <c r="B25" s="107"/>
      <c r="C25" s="104" t="s">
        <v>193</v>
      </c>
      <c r="D25" s="105"/>
      <c r="E25" s="103"/>
      <c r="F25" s="103"/>
      <c r="G25" s="103"/>
      <c r="H25" s="103"/>
      <c r="I25" s="103"/>
      <c r="J25" s="103" t="n">
        <v>3</v>
      </c>
      <c r="K25" s="103"/>
      <c r="L25" s="103"/>
      <c r="M25" s="103"/>
      <c r="N25" s="103"/>
      <c r="O25" s="103"/>
      <c r="P25" s="103"/>
      <c r="Q25" s="106"/>
      <c r="R25" s="103"/>
      <c r="T25" s="103"/>
      <c r="U25" s="105" t="n">
        <f aca="false">SUM(C25:Q25)</f>
        <v>3</v>
      </c>
      <c r="V25" s="103" t="n">
        <v>2</v>
      </c>
      <c r="W25" s="103" t="n">
        <v>2.5</v>
      </c>
      <c r="X25" s="103" t="n">
        <v>0</v>
      </c>
      <c r="Y25" s="106" t="n">
        <f aca="false">SUM(U25:X25)</f>
        <v>7.5</v>
      </c>
      <c r="Z25" s="103"/>
      <c r="AA25" s="103"/>
      <c r="AB25" s="93"/>
      <c r="AC25" s="120" t="n">
        <f aca="false">SUM(AC13:AC24)</f>
        <v>191</v>
      </c>
      <c r="AD25" s="121" t="n">
        <f aca="false">SUM(AC25/AC11)</f>
        <v>0.392197125256674</v>
      </c>
      <c r="AE25" s="103"/>
      <c r="AF25" s="110" t="n">
        <f aca="false">SUM(AF13:AF24)</f>
        <v>24</v>
      </c>
      <c r="AG25" s="103"/>
    </row>
    <row r="26" customFormat="false" ht="15" hidden="false" customHeight="false" outlineLevel="0" collapsed="false">
      <c r="A26" s="97"/>
      <c r="B26" s="107" t="n">
        <v>7</v>
      </c>
      <c r="C26" s="104" t="s">
        <v>194</v>
      </c>
      <c r="D26" s="105"/>
      <c r="E26" s="103"/>
      <c r="F26" s="103"/>
      <c r="G26" s="103"/>
      <c r="H26" s="103"/>
      <c r="I26" s="103"/>
      <c r="J26" s="103" t="n">
        <v>3</v>
      </c>
      <c r="K26" s="103"/>
      <c r="L26" s="103"/>
      <c r="M26" s="103"/>
      <c r="N26" s="103"/>
      <c r="O26" s="103"/>
      <c r="P26" s="103"/>
      <c r="Q26" s="106"/>
      <c r="R26" s="103" t="n">
        <v>2</v>
      </c>
      <c r="S26" s="103"/>
      <c r="T26" s="103"/>
      <c r="U26" s="105" t="n">
        <f aca="false">SUM(C26:Q26)</f>
        <v>3</v>
      </c>
      <c r="V26" s="103" t="n">
        <v>2</v>
      </c>
      <c r="W26" s="103" t="n">
        <v>2.5</v>
      </c>
      <c r="X26" s="103" t="n">
        <v>0</v>
      </c>
      <c r="Y26" s="106" t="n">
        <f aca="false">SUM(U26:X26)</f>
        <v>7.5</v>
      </c>
      <c r="Z26" s="103"/>
      <c r="AA26" s="103"/>
      <c r="AB26" s="93"/>
      <c r="AC26" s="111" t="s">
        <v>176</v>
      </c>
      <c r="AD26" s="111" t="s">
        <v>177</v>
      </c>
      <c r="AE26" s="112" t="s">
        <v>178</v>
      </c>
      <c r="AF26" s="103"/>
      <c r="AG26" s="103"/>
    </row>
    <row r="27" customFormat="false" ht="15" hidden="false" customHeight="false" outlineLevel="0" collapsed="false">
      <c r="A27" s="97"/>
      <c r="B27" s="107"/>
      <c r="C27" s="104" t="s">
        <v>195</v>
      </c>
      <c r="D27" s="105"/>
      <c r="E27" s="103"/>
      <c r="F27" s="103"/>
      <c r="G27" s="103"/>
      <c r="H27" s="103"/>
      <c r="I27" s="103"/>
      <c r="J27" s="103" t="n">
        <v>3</v>
      </c>
      <c r="K27" s="103"/>
      <c r="L27" s="103"/>
      <c r="M27" s="103"/>
      <c r="N27" s="103"/>
      <c r="O27" s="103"/>
      <c r="P27" s="103"/>
      <c r="Q27" s="106"/>
      <c r="R27" s="103"/>
      <c r="S27" s="103"/>
      <c r="T27" s="103"/>
      <c r="U27" s="105" t="n">
        <f aca="false">SUM(C27:Q27)</f>
        <v>3</v>
      </c>
      <c r="V27" s="103" t="n">
        <v>2</v>
      </c>
      <c r="W27" s="103" t="n">
        <v>2.5</v>
      </c>
      <c r="X27" s="103" t="n">
        <v>0</v>
      </c>
      <c r="Y27" s="106" t="n">
        <f aca="false">SUM(U27:X27)</f>
        <v>7.5</v>
      </c>
      <c r="Z27" s="103"/>
      <c r="AA27" s="103"/>
      <c r="AB27" s="122" t="s">
        <v>196</v>
      </c>
      <c r="AC27" s="115" t="n">
        <v>10</v>
      </c>
      <c r="AD27" s="123" t="n">
        <v>0.2</v>
      </c>
      <c r="AE27" s="116" t="n">
        <v>0.2</v>
      </c>
    </row>
    <row r="28" customFormat="false" ht="15" hidden="false" customHeight="false" outlineLevel="0" collapsed="false">
      <c r="A28" s="97"/>
      <c r="B28" s="107"/>
      <c r="C28" s="104" t="s">
        <v>197</v>
      </c>
      <c r="D28" s="105"/>
      <c r="E28" s="103"/>
      <c r="F28" s="103"/>
      <c r="G28" s="103"/>
      <c r="H28" s="103"/>
      <c r="I28" s="103"/>
      <c r="J28" s="103" t="n">
        <v>3</v>
      </c>
      <c r="K28" s="103"/>
      <c r="L28" s="103"/>
      <c r="M28" s="103"/>
      <c r="N28" s="103"/>
      <c r="O28" s="103"/>
      <c r="P28" s="103"/>
      <c r="Q28" s="106"/>
      <c r="R28" s="103"/>
      <c r="S28" s="103"/>
      <c r="T28" s="103"/>
      <c r="U28" s="105" t="n">
        <f aca="false">SUM(C28:Q28)</f>
        <v>3</v>
      </c>
      <c r="V28" s="103" t="n">
        <v>2</v>
      </c>
      <c r="W28" s="103" t="n">
        <v>2.5</v>
      </c>
      <c r="X28" s="103" t="n">
        <v>0</v>
      </c>
      <c r="Y28" s="106" t="n">
        <f aca="false">SUM(U28:X28)</f>
        <v>7.5</v>
      </c>
      <c r="Z28" s="103"/>
      <c r="AA28" s="103"/>
      <c r="AB28" s="122" t="s">
        <v>198</v>
      </c>
      <c r="AC28" s="115" t="n">
        <v>10</v>
      </c>
      <c r="AD28" s="123" t="n">
        <v>0.2</v>
      </c>
      <c r="AE28" s="116" t="n">
        <v>0.4</v>
      </c>
    </row>
    <row r="29" customFormat="false" ht="15" hidden="false" customHeight="false" outlineLevel="0" collapsed="false">
      <c r="A29" s="97"/>
      <c r="B29" s="107"/>
      <c r="C29" s="104" t="s">
        <v>199</v>
      </c>
      <c r="D29" s="105"/>
      <c r="E29" s="103"/>
      <c r="F29" s="103"/>
      <c r="G29" s="103"/>
      <c r="H29" s="103"/>
      <c r="I29" s="103"/>
      <c r="J29" s="110" t="n">
        <v>3</v>
      </c>
      <c r="L29" s="103"/>
      <c r="M29" s="103"/>
      <c r="N29" s="103"/>
      <c r="O29" s="103"/>
      <c r="P29" s="103"/>
      <c r="Q29" s="106"/>
      <c r="R29" s="103"/>
      <c r="S29" s="103"/>
      <c r="T29" s="103"/>
      <c r="U29" s="105" t="n">
        <f aca="false">SUM(C29:Q29)</f>
        <v>3</v>
      </c>
      <c r="V29" s="103" t="n">
        <v>2</v>
      </c>
      <c r="W29" s="103" t="n">
        <v>2.5</v>
      </c>
      <c r="X29" s="103" t="n">
        <v>0</v>
      </c>
      <c r="Y29" s="106" t="n">
        <f aca="false">SUM(U29:X29)</f>
        <v>7.5</v>
      </c>
      <c r="Z29" s="103" t="s">
        <v>200</v>
      </c>
      <c r="AA29" s="103"/>
      <c r="AB29" s="122" t="s">
        <v>201</v>
      </c>
      <c r="AC29" s="115" t="n">
        <v>10</v>
      </c>
      <c r="AD29" s="123" t="n">
        <v>0.2</v>
      </c>
      <c r="AE29" s="116" t="n">
        <v>0.6</v>
      </c>
    </row>
    <row r="30" customFormat="false" ht="15" hidden="false" customHeight="false" outlineLevel="0" collapsed="false">
      <c r="A30" s="97"/>
      <c r="B30" s="107" t="n">
        <v>8</v>
      </c>
      <c r="C30" s="104" t="s">
        <v>202</v>
      </c>
      <c r="D30" s="105"/>
      <c r="E30" s="103"/>
      <c r="F30" s="103"/>
      <c r="G30" s="103"/>
      <c r="H30" s="103"/>
      <c r="I30" s="103"/>
      <c r="J30" s="103"/>
      <c r="K30" s="1" t="n">
        <v>3</v>
      </c>
      <c r="L30" s="103"/>
      <c r="M30" s="103"/>
      <c r="N30" s="103"/>
      <c r="O30" s="103"/>
      <c r="P30" s="103"/>
      <c r="Q30" s="106"/>
      <c r="R30" s="103" t="n">
        <v>2</v>
      </c>
      <c r="T30" s="103"/>
      <c r="U30" s="105" t="n">
        <f aca="false">SUM(C30:Q30)</f>
        <v>3</v>
      </c>
      <c r="V30" s="103" t="n">
        <v>2</v>
      </c>
      <c r="W30" s="103" t="n">
        <v>2.5</v>
      </c>
      <c r="X30" s="103" t="n">
        <v>2</v>
      </c>
      <c r="Y30" s="106" t="n">
        <f aca="false">SUM(U30:X30)</f>
        <v>9.5</v>
      </c>
      <c r="AA30" s="103"/>
      <c r="AB30" s="122" t="s">
        <v>203</v>
      </c>
      <c r="AC30" s="115" t="n">
        <v>10</v>
      </c>
      <c r="AD30" s="123" t="n">
        <v>0.2</v>
      </c>
      <c r="AE30" s="116" t="n">
        <v>0.8</v>
      </c>
    </row>
    <row r="31" customFormat="false" ht="15" hidden="false" customHeight="false" outlineLevel="0" collapsed="false">
      <c r="A31" s="97"/>
      <c r="B31" s="107"/>
      <c r="C31" s="104" t="s">
        <v>204</v>
      </c>
      <c r="D31" s="105"/>
      <c r="E31" s="103"/>
      <c r="F31" s="103"/>
      <c r="G31" s="103"/>
      <c r="H31" s="103"/>
      <c r="I31" s="103"/>
      <c r="J31" s="103"/>
      <c r="K31" s="103" t="n">
        <v>3</v>
      </c>
      <c r="M31" s="103"/>
      <c r="N31" s="103"/>
      <c r="O31" s="103"/>
      <c r="P31" s="103"/>
      <c r="Q31" s="106"/>
      <c r="R31" s="103"/>
      <c r="S31" s="103"/>
      <c r="T31" s="103"/>
      <c r="U31" s="105" t="n">
        <f aca="false">SUM(C31:Q31)</f>
        <v>3</v>
      </c>
      <c r="V31" s="103" t="n">
        <v>2</v>
      </c>
      <c r="W31" s="103" t="n">
        <v>2.5</v>
      </c>
      <c r="X31" s="103" t="n">
        <v>0</v>
      </c>
      <c r="Y31" s="106" t="n">
        <f aca="false">SUM(U31:X31)</f>
        <v>7.5</v>
      </c>
      <c r="Z31" s="103"/>
      <c r="AA31" s="103"/>
      <c r="AB31" s="122" t="s">
        <v>205</v>
      </c>
      <c r="AC31" s="118" t="n">
        <v>10</v>
      </c>
      <c r="AD31" s="124" t="n">
        <v>0.2</v>
      </c>
      <c r="AE31" s="119" t="n">
        <v>1</v>
      </c>
    </row>
    <row r="32" customFormat="false" ht="15" hidden="false" customHeight="false" outlineLevel="0" collapsed="false">
      <c r="A32" s="97"/>
      <c r="B32" s="107"/>
      <c r="C32" s="104" t="s">
        <v>206</v>
      </c>
      <c r="D32" s="105"/>
      <c r="E32" s="103"/>
      <c r="F32" s="103"/>
      <c r="G32" s="103"/>
      <c r="H32" s="103"/>
      <c r="I32" s="103"/>
      <c r="J32" s="103"/>
      <c r="K32" s="103" t="n">
        <v>3</v>
      </c>
      <c r="M32" s="103"/>
      <c r="N32" s="103"/>
      <c r="O32" s="103"/>
      <c r="P32" s="103"/>
      <c r="Q32" s="106"/>
      <c r="R32" s="103"/>
      <c r="T32" s="103"/>
      <c r="U32" s="105" t="n">
        <f aca="false">SUM(C32:Q32)</f>
        <v>3</v>
      </c>
      <c r="V32" s="103" t="n">
        <v>2</v>
      </c>
      <c r="W32" s="103" t="n">
        <v>2.5</v>
      </c>
      <c r="X32" s="103" t="n">
        <v>0</v>
      </c>
      <c r="Y32" s="106" t="n">
        <f aca="false">SUM(U32:X32)</f>
        <v>7.5</v>
      </c>
      <c r="Z32" s="103"/>
      <c r="AA32" s="103"/>
      <c r="AC32" s="40" t="n">
        <f aca="false">SUM(AC27:AC31)</f>
        <v>50</v>
      </c>
      <c r="AD32" s="125" t="n">
        <f aca="false">SUM(AD27:AD31)</f>
        <v>1</v>
      </c>
    </row>
    <row r="33" customFormat="false" ht="15" hidden="false" customHeight="false" outlineLevel="0" collapsed="false">
      <c r="A33" s="97"/>
      <c r="B33" s="107"/>
      <c r="C33" s="104" t="s">
        <v>207</v>
      </c>
      <c r="D33" s="105"/>
      <c r="E33" s="103"/>
      <c r="F33" s="103"/>
      <c r="G33" s="103"/>
      <c r="H33" s="103"/>
      <c r="I33" s="103"/>
      <c r="J33" s="103"/>
      <c r="K33" s="103"/>
      <c r="L33" s="103" t="n">
        <v>3</v>
      </c>
      <c r="M33" s="103"/>
      <c r="N33" s="103"/>
      <c r="O33" s="103"/>
      <c r="P33" s="103"/>
      <c r="Q33" s="106"/>
      <c r="R33" s="103"/>
      <c r="S33" s="113" t="s">
        <v>181</v>
      </c>
      <c r="T33" s="103"/>
      <c r="U33" s="105" t="n">
        <f aca="false">SUM(C33:Q33)</f>
        <v>3</v>
      </c>
      <c r="V33" s="103" t="n">
        <v>2</v>
      </c>
      <c r="W33" s="103" t="n">
        <v>2.5</v>
      </c>
      <c r="X33" s="103" t="n">
        <v>0</v>
      </c>
      <c r="Y33" s="106" t="n">
        <f aca="false">SUM(U33:X33)</f>
        <v>7.5</v>
      </c>
      <c r="Z33" s="103"/>
      <c r="AA33" s="103"/>
    </row>
    <row r="34" customFormat="false" ht="15" hidden="false" customHeight="false" outlineLevel="0" collapsed="false">
      <c r="A34" s="97"/>
      <c r="B34" s="107" t="n">
        <v>9</v>
      </c>
      <c r="C34" s="104" t="s">
        <v>208</v>
      </c>
      <c r="D34" s="105"/>
      <c r="E34" s="103"/>
      <c r="F34" s="103"/>
      <c r="G34" s="103"/>
      <c r="H34" s="103"/>
      <c r="I34" s="103"/>
      <c r="J34" s="103"/>
      <c r="K34" s="103"/>
      <c r="L34" s="103" t="n">
        <v>3</v>
      </c>
      <c r="N34" s="103"/>
      <c r="O34" s="103"/>
      <c r="P34" s="103"/>
      <c r="Q34" s="106"/>
      <c r="R34" s="103" t="n">
        <v>2</v>
      </c>
      <c r="T34" s="103"/>
      <c r="U34" s="105" t="n">
        <f aca="false">SUM(C34:Q34)</f>
        <v>3</v>
      </c>
      <c r="V34" s="103" t="n">
        <v>2</v>
      </c>
      <c r="W34" s="103" t="n">
        <v>2.5</v>
      </c>
      <c r="X34" s="103" t="n">
        <v>2</v>
      </c>
      <c r="Y34" s="106" t="n">
        <f aca="false">SUM(U34:X34)</f>
        <v>9.5</v>
      </c>
      <c r="Z34" s="103"/>
      <c r="AA34" s="103"/>
    </row>
    <row r="35" customFormat="false" ht="15" hidden="false" customHeight="false" outlineLevel="0" collapsed="false">
      <c r="A35" s="97"/>
      <c r="B35" s="107"/>
      <c r="C35" s="104" t="s">
        <v>209</v>
      </c>
      <c r="D35" s="105"/>
      <c r="E35" s="103"/>
      <c r="F35" s="103"/>
      <c r="G35" s="103"/>
      <c r="H35" s="103"/>
      <c r="I35" s="103"/>
      <c r="J35" s="103"/>
      <c r="K35" s="103"/>
      <c r="L35" s="103" t="n">
        <v>3</v>
      </c>
      <c r="N35" s="103"/>
      <c r="O35" s="103"/>
      <c r="P35" s="103"/>
      <c r="Q35" s="106"/>
      <c r="R35" s="103"/>
      <c r="S35" s="103"/>
      <c r="T35" s="103"/>
      <c r="U35" s="105" t="n">
        <f aca="false">SUM(C35:Q35)</f>
        <v>3</v>
      </c>
      <c r="V35" s="103" t="n">
        <v>2</v>
      </c>
      <c r="W35" s="103" t="n">
        <v>2.5</v>
      </c>
      <c r="X35" s="103" t="n">
        <v>0</v>
      </c>
      <c r="Y35" s="106" t="n">
        <f aca="false">SUM(U35:X35)</f>
        <v>7.5</v>
      </c>
      <c r="Z35" s="103"/>
      <c r="AA35" s="103"/>
    </row>
    <row r="36" customFormat="false" ht="15" hidden="false" customHeight="false" outlineLevel="0" collapsed="false">
      <c r="A36" s="97"/>
      <c r="B36" s="107"/>
      <c r="C36" s="104" t="s">
        <v>210</v>
      </c>
      <c r="D36" s="105"/>
      <c r="E36" s="103"/>
      <c r="F36" s="103"/>
      <c r="G36" s="103"/>
      <c r="H36" s="103"/>
      <c r="I36" s="103"/>
      <c r="J36" s="103"/>
      <c r="K36" s="103"/>
      <c r="L36" s="110" t="n">
        <v>3</v>
      </c>
      <c r="N36" s="103"/>
      <c r="O36" s="103"/>
      <c r="P36" s="103"/>
      <c r="Q36" s="106"/>
      <c r="R36" s="103"/>
      <c r="S36" s="103"/>
      <c r="T36" s="103"/>
      <c r="U36" s="105" t="n">
        <f aca="false">SUM(C36:Q36)</f>
        <v>3</v>
      </c>
      <c r="V36" s="103" t="n">
        <v>2</v>
      </c>
      <c r="W36" s="103" t="n">
        <v>2.5</v>
      </c>
      <c r="X36" s="103" t="n">
        <v>0</v>
      </c>
      <c r="Y36" s="106" t="n">
        <f aca="false">SUM(U36:X36)</f>
        <v>7.5</v>
      </c>
      <c r="Z36" s="103" t="s">
        <v>200</v>
      </c>
      <c r="AA36" s="103"/>
    </row>
    <row r="37" customFormat="false" ht="15" hidden="false" customHeight="false" outlineLevel="0" collapsed="false">
      <c r="A37" s="97"/>
      <c r="B37" s="107"/>
      <c r="C37" s="104" t="s">
        <v>211</v>
      </c>
      <c r="D37" s="105"/>
      <c r="E37" s="103"/>
      <c r="F37" s="103"/>
      <c r="G37" s="103"/>
      <c r="H37" s="103"/>
      <c r="I37" s="103"/>
      <c r="J37" s="103"/>
      <c r="K37" s="103"/>
      <c r="M37" s="103" t="n">
        <v>3</v>
      </c>
      <c r="N37" s="103"/>
      <c r="O37" s="103"/>
      <c r="P37" s="103"/>
      <c r="Q37" s="106"/>
      <c r="R37" s="103"/>
      <c r="S37" s="103"/>
      <c r="T37" s="103"/>
      <c r="U37" s="105" t="n">
        <f aca="false">SUM(C37:Q37)</f>
        <v>3</v>
      </c>
      <c r="V37" s="103" t="n">
        <v>2</v>
      </c>
      <c r="W37" s="103" t="n">
        <v>2.5</v>
      </c>
      <c r="X37" s="103" t="n">
        <v>0</v>
      </c>
      <c r="Y37" s="106" t="n">
        <f aca="false">SUM(U37:X37)</f>
        <v>7.5</v>
      </c>
      <c r="Z37" s="103"/>
      <c r="AA37" s="103"/>
    </row>
    <row r="38" customFormat="false" ht="15" hidden="false" customHeight="false" outlineLevel="0" collapsed="false">
      <c r="A38" s="97"/>
      <c r="B38" s="107" t="n">
        <v>10</v>
      </c>
      <c r="C38" s="104" t="s">
        <v>212</v>
      </c>
      <c r="D38" s="105"/>
      <c r="E38" s="103"/>
      <c r="F38" s="103"/>
      <c r="G38" s="103"/>
      <c r="H38" s="103"/>
      <c r="I38" s="103"/>
      <c r="J38" s="103"/>
      <c r="K38" s="103"/>
      <c r="L38" s="103"/>
      <c r="M38" s="103" t="n">
        <v>3</v>
      </c>
      <c r="N38" s="103"/>
      <c r="O38" s="103"/>
      <c r="P38" s="103"/>
      <c r="Q38" s="106"/>
      <c r="R38" s="103" t="n">
        <v>2</v>
      </c>
      <c r="T38" s="103"/>
      <c r="U38" s="105" t="n">
        <f aca="false">SUM(C38:Q38)</f>
        <v>3</v>
      </c>
      <c r="V38" s="103" t="n">
        <v>2</v>
      </c>
      <c r="W38" s="103" t="n">
        <v>2.5</v>
      </c>
      <c r="X38" s="103" t="n">
        <v>2</v>
      </c>
      <c r="Y38" s="106" t="n">
        <f aca="false">SUM(U38:X38)</f>
        <v>9.5</v>
      </c>
      <c r="Z38" s="103"/>
      <c r="AA38" s="103"/>
      <c r="AH38" s="103"/>
    </row>
    <row r="39" customFormat="false" ht="15" hidden="false" customHeight="false" outlineLevel="0" collapsed="false">
      <c r="A39" s="97"/>
      <c r="B39" s="107"/>
      <c r="C39" s="104" t="s">
        <v>213</v>
      </c>
      <c r="D39" s="105"/>
      <c r="E39" s="103"/>
      <c r="F39" s="103"/>
      <c r="G39" s="103"/>
      <c r="H39" s="103"/>
      <c r="I39" s="103"/>
      <c r="J39" s="103"/>
      <c r="K39" s="103"/>
      <c r="L39" s="103"/>
      <c r="M39" s="103" t="n">
        <v>3</v>
      </c>
      <c r="N39" s="103"/>
      <c r="O39" s="103"/>
      <c r="P39" s="103"/>
      <c r="Q39" s="106"/>
      <c r="R39" s="103"/>
      <c r="S39" s="103"/>
      <c r="T39" s="103"/>
      <c r="U39" s="105" t="n">
        <f aca="false">SUM(C39:Q39)</f>
        <v>3</v>
      </c>
      <c r="V39" s="103" t="n">
        <v>2</v>
      </c>
      <c r="W39" s="103" t="n">
        <v>2.5</v>
      </c>
      <c r="X39" s="103" t="n">
        <v>0</v>
      </c>
      <c r="Y39" s="106" t="n">
        <f aca="false">SUM(U39:X39)</f>
        <v>7.5</v>
      </c>
      <c r="Z39" s="103"/>
      <c r="AA39" s="103"/>
      <c r="AH39" s="103"/>
    </row>
    <row r="40" customFormat="false" ht="15" hidden="false" customHeight="false" outlineLevel="0" collapsed="false">
      <c r="A40" s="97"/>
      <c r="B40" s="107"/>
      <c r="C40" s="104" t="s">
        <v>214</v>
      </c>
      <c r="D40" s="105"/>
      <c r="E40" s="103"/>
      <c r="F40" s="103"/>
      <c r="G40" s="103"/>
      <c r="H40" s="103"/>
      <c r="I40" s="103"/>
      <c r="J40" s="103"/>
      <c r="K40" s="103"/>
      <c r="L40" s="103"/>
      <c r="M40" s="103" t="n">
        <v>3</v>
      </c>
      <c r="O40" s="103"/>
      <c r="P40" s="103"/>
      <c r="Q40" s="106"/>
      <c r="R40" s="103"/>
      <c r="S40" s="103"/>
      <c r="T40" s="103"/>
      <c r="U40" s="105" t="n">
        <f aca="false">SUM(C40:Q40)</f>
        <v>3</v>
      </c>
      <c r="V40" s="103" t="n">
        <v>2</v>
      </c>
      <c r="W40" s="103" t="n">
        <v>2.5</v>
      </c>
      <c r="X40" s="103" t="n">
        <v>0</v>
      </c>
      <c r="Y40" s="106" t="n">
        <f aca="false">SUM(U40:X40)</f>
        <v>7.5</v>
      </c>
      <c r="Z40" s="103"/>
      <c r="AA40" s="103"/>
      <c r="AH40" s="103"/>
    </row>
    <row r="41" customFormat="false" ht="15" hidden="false" customHeight="false" outlineLevel="0" collapsed="false">
      <c r="A41" s="97"/>
      <c r="B41" s="107"/>
      <c r="C41" s="104" t="s">
        <v>215</v>
      </c>
      <c r="D41" s="105"/>
      <c r="E41" s="103"/>
      <c r="F41" s="103"/>
      <c r="G41" s="103"/>
      <c r="H41" s="103"/>
      <c r="I41" s="103"/>
      <c r="J41" s="103"/>
      <c r="K41" s="103"/>
      <c r="L41" s="103"/>
      <c r="M41" s="103" t="n">
        <v>3</v>
      </c>
      <c r="O41" s="103"/>
      <c r="P41" s="103"/>
      <c r="Q41" s="106"/>
      <c r="R41" s="103"/>
      <c r="S41" s="103"/>
      <c r="T41" s="103"/>
      <c r="U41" s="105" t="n">
        <f aca="false">SUM(C41:Q41)</f>
        <v>3</v>
      </c>
      <c r="V41" s="103" t="n">
        <v>2</v>
      </c>
      <c r="W41" s="103" t="n">
        <v>2.5</v>
      </c>
      <c r="X41" s="103" t="n">
        <v>0</v>
      </c>
      <c r="Y41" s="106" t="n">
        <f aca="false">SUM(U41:X41)</f>
        <v>7.5</v>
      </c>
      <c r="Z41" s="103"/>
      <c r="AA41" s="103"/>
      <c r="AB41" s="103"/>
      <c r="AC41" s="103"/>
      <c r="AD41" s="103"/>
      <c r="AE41" s="103"/>
      <c r="AF41" s="103"/>
      <c r="AG41" s="103"/>
      <c r="AH41" s="103"/>
    </row>
    <row r="42" customFormat="false" ht="15" hidden="false" customHeight="false" outlineLevel="0" collapsed="false">
      <c r="A42" s="97"/>
      <c r="B42" s="107" t="n">
        <v>11</v>
      </c>
      <c r="C42" s="104" t="s">
        <v>216</v>
      </c>
      <c r="D42" s="105"/>
      <c r="E42" s="103"/>
      <c r="F42" s="103"/>
      <c r="G42" s="103"/>
      <c r="H42" s="103"/>
      <c r="I42" s="103"/>
      <c r="J42" s="103"/>
      <c r="K42" s="103"/>
      <c r="L42" s="103"/>
      <c r="M42" s="103" t="n">
        <v>6</v>
      </c>
      <c r="O42" s="103"/>
      <c r="P42" s="103"/>
      <c r="Q42" s="106"/>
      <c r="R42" s="103" t="n">
        <v>2</v>
      </c>
      <c r="T42" s="103"/>
      <c r="U42" s="105" t="n">
        <f aca="false">SUM(C42:Q42)</f>
        <v>6</v>
      </c>
      <c r="V42" s="103" t="n">
        <v>2</v>
      </c>
      <c r="W42" s="103" t="n">
        <v>2.5</v>
      </c>
      <c r="X42" s="103" t="n">
        <v>0</v>
      </c>
      <c r="Y42" s="106" t="n">
        <f aca="false">SUM(U42:X42)</f>
        <v>10.5</v>
      </c>
      <c r="Z42" s="103"/>
      <c r="AA42" s="103"/>
      <c r="AB42" s="103"/>
      <c r="AC42" s="103"/>
      <c r="AD42" s="103"/>
      <c r="AE42" s="103"/>
      <c r="AF42" s="103"/>
      <c r="AG42" s="103"/>
      <c r="AH42" s="103"/>
    </row>
    <row r="43" customFormat="false" ht="15" hidden="false" customHeight="false" outlineLevel="0" collapsed="false">
      <c r="A43" s="97"/>
      <c r="B43" s="107"/>
      <c r="C43" s="104" t="s">
        <v>217</v>
      </c>
      <c r="D43" s="105"/>
      <c r="E43" s="103"/>
      <c r="F43" s="103"/>
      <c r="G43" s="103"/>
      <c r="H43" s="103"/>
      <c r="I43" s="103"/>
      <c r="J43" s="103"/>
      <c r="K43" s="103"/>
      <c r="L43" s="103"/>
      <c r="M43" s="103"/>
      <c r="N43" s="103" t="n">
        <v>3</v>
      </c>
      <c r="O43" s="103"/>
      <c r="P43" s="103"/>
      <c r="Q43" s="106"/>
      <c r="R43" s="103"/>
      <c r="S43" s="113" t="s">
        <v>181</v>
      </c>
      <c r="T43" s="103"/>
      <c r="U43" s="105" t="n">
        <f aca="false">SUM(C43:Q43)</f>
        <v>3</v>
      </c>
      <c r="V43" s="103" t="n">
        <v>2</v>
      </c>
      <c r="W43" s="103" t="n">
        <v>2.5</v>
      </c>
      <c r="X43" s="103" t="n">
        <v>0</v>
      </c>
      <c r="Y43" s="106" t="n">
        <f aca="false">SUM(U43:X43)</f>
        <v>7.5</v>
      </c>
      <c r="Z43" s="103"/>
      <c r="AA43" s="103"/>
      <c r="AB43" s="103"/>
      <c r="AC43" s="103"/>
      <c r="AD43" s="103"/>
      <c r="AE43" s="103"/>
      <c r="AF43" s="103"/>
      <c r="AG43" s="103"/>
      <c r="AH43" s="103"/>
    </row>
    <row r="44" customFormat="false" ht="15" hidden="false" customHeight="false" outlineLevel="0" collapsed="false">
      <c r="A44" s="97"/>
      <c r="B44" s="107"/>
      <c r="C44" s="104" t="s">
        <v>218</v>
      </c>
      <c r="D44" s="105"/>
      <c r="E44" s="103"/>
      <c r="F44" s="103"/>
      <c r="G44" s="103"/>
      <c r="H44" s="103"/>
      <c r="I44" s="103"/>
      <c r="J44" s="103"/>
      <c r="K44" s="103"/>
      <c r="L44" s="103"/>
      <c r="M44" s="103"/>
      <c r="N44" s="103" t="n">
        <v>3</v>
      </c>
      <c r="O44" s="103"/>
      <c r="P44" s="103"/>
      <c r="Q44" s="106"/>
      <c r="R44" s="103"/>
      <c r="T44" s="103"/>
      <c r="U44" s="105" t="n">
        <f aca="false">SUM(C44:Q44)</f>
        <v>3</v>
      </c>
      <c r="V44" s="103" t="n">
        <v>2</v>
      </c>
      <c r="W44" s="103" t="n">
        <v>2.5</v>
      </c>
      <c r="X44" s="103" t="n">
        <v>0</v>
      </c>
      <c r="Y44" s="106" t="n">
        <f aca="false">SUM(U44:X44)</f>
        <v>7.5</v>
      </c>
      <c r="Z44" s="103"/>
      <c r="AA44" s="103"/>
      <c r="AB44" s="103"/>
      <c r="AC44" s="103"/>
      <c r="AD44" s="103"/>
      <c r="AE44" s="103"/>
      <c r="AF44" s="103"/>
      <c r="AG44" s="103"/>
      <c r="AH44" s="103"/>
    </row>
    <row r="45" customFormat="false" ht="15" hidden="false" customHeight="false" outlineLevel="0" collapsed="false">
      <c r="A45" s="97"/>
      <c r="B45" s="107"/>
      <c r="C45" s="104" t="s">
        <v>219</v>
      </c>
      <c r="D45" s="105"/>
      <c r="E45" s="103"/>
      <c r="F45" s="103"/>
      <c r="G45" s="103"/>
      <c r="H45" s="103"/>
      <c r="I45" s="103"/>
      <c r="J45" s="103"/>
      <c r="K45" s="103"/>
      <c r="L45" s="103"/>
      <c r="M45" s="103"/>
      <c r="N45" s="103" t="n">
        <v>3</v>
      </c>
      <c r="P45" s="103"/>
      <c r="Q45" s="106"/>
      <c r="R45" s="103"/>
      <c r="S45" s="103"/>
      <c r="T45" s="103"/>
      <c r="U45" s="105" t="n">
        <f aca="false">SUM(C45:Q45)</f>
        <v>3</v>
      </c>
      <c r="V45" s="103" t="n">
        <v>2</v>
      </c>
      <c r="W45" s="103" t="n">
        <v>2.5</v>
      </c>
      <c r="X45" s="103" t="n">
        <v>0</v>
      </c>
      <c r="Y45" s="106" t="n">
        <f aca="false">SUM(U45:X45)</f>
        <v>7.5</v>
      </c>
      <c r="Z45" s="103"/>
      <c r="AA45" s="103"/>
      <c r="AB45" s="103"/>
      <c r="AC45" s="103"/>
      <c r="AD45" s="103"/>
      <c r="AE45" s="103"/>
      <c r="AF45" s="103"/>
      <c r="AG45" s="103"/>
      <c r="AH45" s="103"/>
    </row>
    <row r="46" customFormat="false" ht="15" hidden="false" customHeight="false" outlineLevel="0" collapsed="false">
      <c r="A46" s="97"/>
      <c r="B46" s="107" t="n">
        <v>12</v>
      </c>
      <c r="C46" s="104" t="s">
        <v>220</v>
      </c>
      <c r="D46" s="105"/>
      <c r="E46" s="103"/>
      <c r="F46" s="103"/>
      <c r="G46" s="103"/>
      <c r="H46" s="103"/>
      <c r="I46" s="103"/>
      <c r="J46" s="103"/>
      <c r="K46" s="103"/>
      <c r="L46" s="103"/>
      <c r="M46" s="103"/>
      <c r="N46" s="103" t="n">
        <v>3</v>
      </c>
      <c r="P46" s="103"/>
      <c r="Q46" s="106"/>
      <c r="R46" s="103" t="n">
        <v>2</v>
      </c>
      <c r="S46" s="103"/>
      <c r="T46" s="103"/>
      <c r="U46" s="105" t="n">
        <f aca="false">SUM(C46:Q46)</f>
        <v>3</v>
      </c>
      <c r="V46" s="103" t="n">
        <v>2</v>
      </c>
      <c r="W46" s="103" t="n">
        <v>2.5</v>
      </c>
      <c r="X46" s="103" t="n">
        <v>2</v>
      </c>
      <c r="Y46" s="106" t="n">
        <f aca="false">SUM(U46:X46)</f>
        <v>9.5</v>
      </c>
      <c r="Z46" s="103"/>
      <c r="AA46" s="103"/>
      <c r="AB46" s="103"/>
      <c r="AC46" s="103"/>
      <c r="AD46" s="103"/>
      <c r="AE46" s="103"/>
      <c r="AF46" s="103"/>
      <c r="AG46" s="103"/>
      <c r="AH46" s="103"/>
    </row>
    <row r="47" customFormat="false" ht="15" hidden="false" customHeight="false" outlineLevel="0" collapsed="false">
      <c r="A47" s="97"/>
      <c r="B47" s="107"/>
      <c r="C47" s="104" t="s">
        <v>221</v>
      </c>
      <c r="D47" s="105"/>
      <c r="E47" s="103"/>
      <c r="F47" s="103"/>
      <c r="G47" s="103"/>
      <c r="H47" s="103"/>
      <c r="I47" s="103"/>
      <c r="J47" s="103"/>
      <c r="K47" s="103"/>
      <c r="L47" s="103"/>
      <c r="M47" s="103"/>
      <c r="N47" s="103" t="n">
        <v>3</v>
      </c>
      <c r="P47" s="103"/>
      <c r="Q47" s="106"/>
      <c r="R47" s="103"/>
      <c r="S47" s="103"/>
      <c r="T47" s="103"/>
      <c r="U47" s="105" t="n">
        <f aca="false">SUM(C47:Q47)</f>
        <v>3</v>
      </c>
      <c r="V47" s="103" t="n">
        <v>2</v>
      </c>
      <c r="W47" s="103" t="n">
        <v>2.5</v>
      </c>
      <c r="X47" s="103" t="n">
        <v>0</v>
      </c>
      <c r="Y47" s="106" t="n">
        <f aca="false">SUM(U47:X47)</f>
        <v>7.5</v>
      </c>
      <c r="Z47" s="103"/>
      <c r="AA47" s="103"/>
      <c r="AB47" s="103"/>
      <c r="AC47" s="103"/>
      <c r="AD47" s="103"/>
      <c r="AE47" s="103"/>
      <c r="AF47" s="103"/>
      <c r="AG47" s="103"/>
      <c r="AH47" s="103"/>
    </row>
    <row r="48" customFormat="false" ht="15" hidden="false" customHeight="false" outlineLevel="0" collapsed="false">
      <c r="A48" s="97"/>
      <c r="B48" s="107"/>
      <c r="C48" s="104" t="s">
        <v>222</v>
      </c>
      <c r="D48" s="105"/>
      <c r="E48" s="103"/>
      <c r="F48" s="103"/>
      <c r="G48" s="103"/>
      <c r="H48" s="103"/>
      <c r="I48" s="103"/>
      <c r="J48" s="103"/>
      <c r="K48" s="103"/>
      <c r="L48" s="103"/>
      <c r="M48" s="103"/>
      <c r="N48" s="110" t="n">
        <v>3</v>
      </c>
      <c r="P48" s="103"/>
      <c r="Q48" s="106"/>
      <c r="R48" s="103"/>
      <c r="S48" s="103"/>
      <c r="T48" s="103"/>
      <c r="U48" s="105" t="n">
        <f aca="false">SUM(C48:Q48)</f>
        <v>3</v>
      </c>
      <c r="V48" s="103" t="n">
        <v>2</v>
      </c>
      <c r="W48" s="103" t="n">
        <v>2.5</v>
      </c>
      <c r="X48" s="103" t="n">
        <v>2</v>
      </c>
      <c r="Y48" s="106" t="n">
        <f aca="false">SUM(U48:X48)</f>
        <v>9.5</v>
      </c>
      <c r="Z48" s="103" t="s">
        <v>200</v>
      </c>
      <c r="AA48" s="103"/>
      <c r="AB48" s="103"/>
      <c r="AC48" s="103"/>
      <c r="AD48" s="103"/>
      <c r="AE48" s="103"/>
      <c r="AF48" s="103"/>
      <c r="AG48" s="103"/>
      <c r="AH48" s="103"/>
    </row>
    <row r="49" customFormat="false" ht="15" hidden="false" customHeight="false" outlineLevel="0" collapsed="false">
      <c r="A49" s="97"/>
      <c r="B49" s="107"/>
      <c r="C49" s="104" t="s">
        <v>223</v>
      </c>
      <c r="D49" s="105"/>
      <c r="E49" s="103"/>
      <c r="F49" s="103"/>
      <c r="G49" s="103"/>
      <c r="H49" s="103"/>
      <c r="I49" s="103"/>
      <c r="J49" s="103"/>
      <c r="K49" s="103"/>
      <c r="L49" s="103"/>
      <c r="M49" s="103"/>
      <c r="N49" s="110"/>
      <c r="O49" s="103" t="n">
        <v>3</v>
      </c>
      <c r="P49" s="103"/>
      <c r="Q49" s="106"/>
      <c r="R49" s="103"/>
      <c r="T49" s="103"/>
      <c r="U49" s="105" t="n">
        <f aca="false">SUM(C49:Q49)</f>
        <v>3</v>
      </c>
      <c r="V49" s="103" t="n">
        <v>2</v>
      </c>
      <c r="W49" s="103" t="n">
        <v>2.5</v>
      </c>
      <c r="X49" s="103" t="n">
        <v>0</v>
      </c>
      <c r="Y49" s="106" t="n">
        <f aca="false">SUM(U49:X49)</f>
        <v>7.5</v>
      </c>
      <c r="Z49" s="103"/>
      <c r="AA49" s="103"/>
      <c r="AB49" s="103"/>
      <c r="AC49" s="103"/>
      <c r="AD49" s="103"/>
      <c r="AE49" s="103"/>
      <c r="AF49" s="103"/>
      <c r="AG49" s="103"/>
      <c r="AH49" s="103"/>
    </row>
    <row r="50" customFormat="false" ht="15" hidden="false" customHeight="false" outlineLevel="0" collapsed="false">
      <c r="A50" s="97"/>
      <c r="B50" s="107" t="n">
        <v>13</v>
      </c>
      <c r="C50" s="104" t="s">
        <v>224</v>
      </c>
      <c r="D50" s="105"/>
      <c r="E50" s="103"/>
      <c r="F50" s="103"/>
      <c r="G50" s="103"/>
      <c r="H50" s="103"/>
      <c r="I50" s="103"/>
      <c r="J50" s="103"/>
      <c r="K50" s="103"/>
      <c r="L50" s="103"/>
      <c r="M50" s="103"/>
      <c r="N50" s="103"/>
      <c r="O50" s="103" t="n">
        <v>3</v>
      </c>
      <c r="Q50" s="106"/>
      <c r="R50" s="103" t="n">
        <v>2</v>
      </c>
      <c r="S50" s="103"/>
      <c r="T50" s="103"/>
      <c r="U50" s="105" t="n">
        <f aca="false">SUM(C50:Q50)</f>
        <v>3</v>
      </c>
      <c r="V50" s="103" t="n">
        <v>2</v>
      </c>
      <c r="W50" s="103" t="n">
        <v>2.5</v>
      </c>
      <c r="X50" s="103" t="n">
        <v>0</v>
      </c>
      <c r="Y50" s="106" t="n">
        <f aca="false">SUM(U50:X50)</f>
        <v>7.5</v>
      </c>
      <c r="Z50" s="103"/>
      <c r="AA50" s="103"/>
      <c r="AB50" s="103"/>
      <c r="AC50" s="103"/>
      <c r="AD50" s="103"/>
      <c r="AE50" s="103"/>
      <c r="AF50" s="103"/>
      <c r="AG50" s="103"/>
      <c r="AH50" s="103"/>
    </row>
    <row r="51" customFormat="false" ht="15" hidden="false" customHeight="false" outlineLevel="0" collapsed="false">
      <c r="A51" s="97"/>
      <c r="B51" s="107"/>
      <c r="C51" s="104" t="s">
        <v>225</v>
      </c>
      <c r="D51" s="105"/>
      <c r="E51" s="103"/>
      <c r="F51" s="103"/>
      <c r="G51" s="103"/>
      <c r="H51" s="103"/>
      <c r="I51" s="103"/>
      <c r="J51" s="103"/>
      <c r="K51" s="103"/>
      <c r="L51" s="103"/>
      <c r="M51" s="103"/>
      <c r="N51" s="103"/>
      <c r="O51" s="103" t="n">
        <v>3</v>
      </c>
      <c r="Q51" s="106"/>
      <c r="R51" s="103"/>
      <c r="S51" s="103"/>
      <c r="T51" s="103"/>
      <c r="U51" s="105" t="n">
        <f aca="false">SUM(C51:Q51)</f>
        <v>3</v>
      </c>
      <c r="V51" s="103" t="n">
        <v>2</v>
      </c>
      <c r="W51" s="103" t="n">
        <v>2.5</v>
      </c>
      <c r="X51" s="103" t="n">
        <v>0</v>
      </c>
      <c r="Y51" s="106" t="n">
        <f aca="false">SUM(U51:X51)</f>
        <v>7.5</v>
      </c>
      <c r="Z51" s="103"/>
      <c r="AA51" s="103"/>
      <c r="AB51" s="103"/>
      <c r="AC51" s="103"/>
      <c r="AD51" s="103"/>
      <c r="AE51" s="103"/>
      <c r="AF51" s="103"/>
      <c r="AG51" s="103"/>
      <c r="AH51" s="103"/>
    </row>
    <row r="52" customFormat="false" ht="15" hidden="false" customHeight="false" outlineLevel="0" collapsed="false">
      <c r="A52" s="97"/>
      <c r="B52" s="107"/>
      <c r="C52" s="104" t="s">
        <v>226</v>
      </c>
      <c r="D52" s="105"/>
      <c r="E52" s="103"/>
      <c r="F52" s="103"/>
      <c r="G52" s="103"/>
      <c r="H52" s="103"/>
      <c r="I52" s="103"/>
      <c r="J52" s="103"/>
      <c r="K52" s="103"/>
      <c r="L52" s="103"/>
      <c r="M52" s="103"/>
      <c r="N52" s="103"/>
      <c r="O52" s="103" t="n">
        <v>3</v>
      </c>
      <c r="Q52" s="106"/>
      <c r="R52" s="103"/>
      <c r="T52" s="103"/>
      <c r="U52" s="105" t="n">
        <f aca="false">SUM(C52:Q52)</f>
        <v>3</v>
      </c>
      <c r="V52" s="103" t="n">
        <v>2</v>
      </c>
      <c r="W52" s="103" t="n">
        <v>2.5</v>
      </c>
      <c r="X52" s="103" t="n">
        <v>2</v>
      </c>
      <c r="Y52" s="106" t="n">
        <f aca="false">SUM(U52:X52)</f>
        <v>9.5</v>
      </c>
      <c r="Z52" s="103"/>
      <c r="AA52" s="103"/>
      <c r="AB52" s="103"/>
      <c r="AC52" s="103"/>
      <c r="AD52" s="103"/>
      <c r="AE52" s="103"/>
      <c r="AF52" s="103"/>
      <c r="AG52" s="103"/>
      <c r="AH52" s="103"/>
    </row>
    <row r="53" customFormat="false" ht="15" hidden="false" customHeight="false" outlineLevel="0" collapsed="false">
      <c r="A53" s="97"/>
      <c r="B53" s="107"/>
      <c r="C53" s="104" t="s">
        <v>227</v>
      </c>
      <c r="D53" s="105"/>
      <c r="E53" s="103"/>
      <c r="F53" s="103"/>
      <c r="G53" s="103"/>
      <c r="H53" s="103"/>
      <c r="I53" s="103"/>
      <c r="J53" s="103"/>
      <c r="K53" s="103"/>
      <c r="L53" s="103"/>
      <c r="M53" s="103"/>
      <c r="N53" s="103"/>
      <c r="O53" s="103" t="n">
        <v>3</v>
      </c>
      <c r="Q53" s="106"/>
      <c r="R53" s="103"/>
      <c r="S53" s="113"/>
      <c r="T53" s="103"/>
      <c r="U53" s="105" t="n">
        <f aca="false">SUM(C53:Q53)</f>
        <v>3</v>
      </c>
      <c r="V53" s="103" t="n">
        <v>2</v>
      </c>
      <c r="W53" s="103" t="n">
        <v>2.5</v>
      </c>
      <c r="X53" s="103" t="n">
        <v>0</v>
      </c>
      <c r="Y53" s="106" t="n">
        <f aca="false">SUM(U53:X53)</f>
        <v>7.5</v>
      </c>
      <c r="Z53" s="103"/>
      <c r="AA53" s="103"/>
      <c r="AB53" s="103"/>
      <c r="AC53" s="103"/>
      <c r="AD53" s="103"/>
      <c r="AE53" s="103"/>
      <c r="AF53" s="103"/>
      <c r="AG53" s="103"/>
      <c r="AH53" s="103"/>
    </row>
    <row r="54" customFormat="false" ht="15" hidden="false" customHeight="true" outlineLevel="0" collapsed="false">
      <c r="A54" s="97"/>
      <c r="B54" s="107" t="n">
        <v>14</v>
      </c>
      <c r="C54" s="104" t="s">
        <v>228</v>
      </c>
      <c r="D54" s="105"/>
      <c r="E54" s="103"/>
      <c r="F54" s="103"/>
      <c r="G54" s="103"/>
      <c r="H54" s="103"/>
      <c r="I54" s="103"/>
      <c r="J54" s="103"/>
      <c r="K54" s="103"/>
      <c r="L54" s="103"/>
      <c r="M54" s="103"/>
      <c r="N54" s="103"/>
      <c r="O54" s="103"/>
      <c r="P54" s="103" t="n">
        <v>3</v>
      </c>
      <c r="Q54" s="106"/>
      <c r="R54" s="103" t="n">
        <v>2</v>
      </c>
      <c r="T54" s="103"/>
      <c r="U54" s="105" t="n">
        <f aca="false">SUM(C54:Q54)</f>
        <v>3</v>
      </c>
      <c r="V54" s="103" t="n">
        <v>2</v>
      </c>
      <c r="W54" s="103" t="n">
        <v>2.5</v>
      </c>
      <c r="X54" s="103" t="n">
        <v>0</v>
      </c>
      <c r="Y54" s="106" t="n">
        <f aca="false">SUM(U54:X54)</f>
        <v>7.5</v>
      </c>
      <c r="Z54" s="103"/>
      <c r="AA54" s="103"/>
      <c r="AB54" s="103"/>
      <c r="AC54" s="103"/>
      <c r="AD54" s="103"/>
      <c r="AE54" s="103"/>
      <c r="AF54" s="103"/>
      <c r="AG54" s="103"/>
      <c r="AH54" s="103"/>
    </row>
    <row r="55" customFormat="false" ht="15" hidden="false" customHeight="false" outlineLevel="0" collapsed="false">
      <c r="A55" s="97"/>
      <c r="B55" s="107"/>
      <c r="C55" s="104" t="s">
        <v>229</v>
      </c>
      <c r="D55" s="105"/>
      <c r="E55" s="103"/>
      <c r="F55" s="103"/>
      <c r="G55" s="103"/>
      <c r="H55" s="103"/>
      <c r="I55" s="103"/>
      <c r="J55" s="103"/>
      <c r="K55" s="103"/>
      <c r="L55" s="103"/>
      <c r="M55" s="103"/>
      <c r="N55" s="103"/>
      <c r="O55" s="103"/>
      <c r="P55" s="103" t="n">
        <v>3</v>
      </c>
      <c r="Q55" s="126"/>
      <c r="R55" s="103"/>
      <c r="S55" s="103"/>
      <c r="T55" s="103"/>
      <c r="U55" s="105" t="n">
        <f aca="false">SUM(C55:Q55)</f>
        <v>3</v>
      </c>
      <c r="V55" s="103" t="n">
        <v>2</v>
      </c>
      <c r="W55" s="103" t="n">
        <v>2.5</v>
      </c>
      <c r="X55" s="103" t="n">
        <v>0</v>
      </c>
      <c r="Y55" s="106" t="n">
        <f aca="false">SUM(U55:X55)</f>
        <v>7.5</v>
      </c>
      <c r="Z55" s="103"/>
      <c r="AA55" s="103"/>
      <c r="AB55" s="103"/>
      <c r="AC55" s="103"/>
      <c r="AD55" s="103"/>
      <c r="AE55" s="103"/>
      <c r="AF55" s="103"/>
      <c r="AG55" s="103"/>
      <c r="AH55" s="103"/>
    </row>
    <row r="56" customFormat="false" ht="15" hidden="false" customHeight="false" outlineLevel="0" collapsed="false">
      <c r="A56" s="97"/>
      <c r="B56" s="107"/>
      <c r="C56" s="104" t="s">
        <v>230</v>
      </c>
      <c r="D56" s="105"/>
      <c r="E56" s="103"/>
      <c r="F56" s="103"/>
      <c r="G56" s="103"/>
      <c r="H56" s="103"/>
      <c r="I56" s="103"/>
      <c r="J56" s="103"/>
      <c r="K56" s="103"/>
      <c r="L56" s="103"/>
      <c r="M56" s="103"/>
      <c r="N56" s="103"/>
      <c r="O56" s="103"/>
      <c r="P56" s="103" t="n">
        <v>3</v>
      </c>
      <c r="Q56" s="126"/>
      <c r="R56" s="103"/>
      <c r="T56" s="103"/>
      <c r="U56" s="105" t="n">
        <f aca="false">SUM(C56:Q56)</f>
        <v>3</v>
      </c>
      <c r="V56" s="103" t="n">
        <v>2</v>
      </c>
      <c r="W56" s="103" t="n">
        <v>2.5</v>
      </c>
      <c r="X56" s="103" t="n">
        <v>0</v>
      </c>
      <c r="Y56" s="106" t="n">
        <f aca="false">SUM(U56:X56)</f>
        <v>7.5</v>
      </c>
      <c r="Z56" s="103"/>
      <c r="AA56" s="103"/>
      <c r="AB56" s="103"/>
      <c r="AC56" s="103"/>
      <c r="AD56" s="103"/>
      <c r="AE56" s="103"/>
      <c r="AF56" s="103"/>
      <c r="AG56" s="103"/>
      <c r="AH56" s="103"/>
    </row>
    <row r="57" customFormat="false" ht="15" hidden="false" customHeight="false" outlineLevel="0" collapsed="false">
      <c r="A57" s="97"/>
      <c r="B57" s="107"/>
      <c r="C57" s="104" t="s">
        <v>231</v>
      </c>
      <c r="D57" s="105"/>
      <c r="E57" s="103"/>
      <c r="F57" s="103"/>
      <c r="G57" s="103"/>
      <c r="H57" s="103"/>
      <c r="I57" s="103"/>
      <c r="J57" s="103"/>
      <c r="K57" s="103"/>
      <c r="L57" s="103"/>
      <c r="M57" s="103"/>
      <c r="N57" s="103"/>
      <c r="O57" s="103"/>
      <c r="P57" s="103" t="n">
        <v>3</v>
      </c>
      <c r="Q57" s="126"/>
      <c r="R57" s="103"/>
      <c r="S57" s="103"/>
      <c r="T57" s="103"/>
      <c r="U57" s="105" t="n">
        <f aca="false">SUM(C57:Q57)</f>
        <v>3</v>
      </c>
      <c r="V57" s="103" t="n">
        <v>2</v>
      </c>
      <c r="W57" s="103" t="n">
        <v>2.5</v>
      </c>
      <c r="X57" s="103" t="n">
        <v>0</v>
      </c>
      <c r="Y57" s="106" t="n">
        <f aca="false">SUM(U57:X57)</f>
        <v>7.5</v>
      </c>
      <c r="Z57" s="103"/>
      <c r="AA57" s="103"/>
      <c r="AB57" s="103"/>
      <c r="AC57" s="103"/>
      <c r="AD57" s="103"/>
      <c r="AE57" s="103"/>
      <c r="AF57" s="103"/>
      <c r="AG57" s="103"/>
      <c r="AH57" s="103"/>
    </row>
    <row r="58" customFormat="false" ht="15" hidden="false" customHeight="false" outlineLevel="0" collapsed="false">
      <c r="A58" s="97"/>
      <c r="B58" s="127" t="n">
        <v>15</v>
      </c>
      <c r="C58" s="104" t="s">
        <v>232</v>
      </c>
      <c r="D58" s="105"/>
      <c r="E58" s="103"/>
      <c r="F58" s="103"/>
      <c r="G58" s="103"/>
      <c r="H58" s="103"/>
      <c r="I58" s="103"/>
      <c r="J58" s="103"/>
      <c r="K58" s="103"/>
      <c r="L58" s="103"/>
      <c r="M58" s="103"/>
      <c r="N58" s="103"/>
      <c r="O58" s="103"/>
      <c r="P58" s="103" t="n">
        <v>3</v>
      </c>
      <c r="Q58" s="126"/>
      <c r="R58" s="103" t="n">
        <v>2</v>
      </c>
      <c r="S58" s="103"/>
      <c r="T58" s="103"/>
      <c r="U58" s="105" t="n">
        <f aca="false">SUM(C58:Q58)</f>
        <v>3</v>
      </c>
      <c r="V58" s="103" t="n">
        <v>2</v>
      </c>
      <c r="W58" s="103" t="n">
        <v>2.5</v>
      </c>
      <c r="X58" s="103" t="n">
        <v>2</v>
      </c>
      <c r="Y58" s="106" t="n">
        <f aca="false">SUM(U58:X58)</f>
        <v>9.5</v>
      </c>
      <c r="Z58" s="103"/>
      <c r="AA58" s="103"/>
      <c r="AB58" s="103"/>
      <c r="AC58" s="103"/>
      <c r="AD58" s="103"/>
      <c r="AE58" s="103"/>
      <c r="AF58" s="103"/>
      <c r="AG58" s="103"/>
      <c r="AH58" s="103"/>
    </row>
    <row r="59" customFormat="false" ht="15" hidden="false" customHeight="false" outlineLevel="0" collapsed="false">
      <c r="A59" s="97"/>
      <c r="B59" s="127"/>
      <c r="C59" s="104" t="s">
        <v>233</v>
      </c>
      <c r="D59" s="105"/>
      <c r="E59" s="103"/>
      <c r="F59" s="103"/>
      <c r="G59" s="103"/>
      <c r="H59" s="103"/>
      <c r="I59" s="103"/>
      <c r="J59" s="103"/>
      <c r="K59" s="103"/>
      <c r="L59" s="103"/>
      <c r="M59" s="103"/>
      <c r="N59" s="103"/>
      <c r="O59" s="103"/>
      <c r="P59" s="103"/>
      <c r="Q59" s="106" t="n">
        <v>3</v>
      </c>
      <c r="R59" s="103"/>
      <c r="S59" s="103"/>
      <c r="T59" s="103"/>
      <c r="U59" s="105" t="n">
        <f aca="false">SUM(C59:Q59)</f>
        <v>3</v>
      </c>
      <c r="V59" s="103" t="n">
        <v>2</v>
      </c>
      <c r="W59" s="103" t="n">
        <v>2.5</v>
      </c>
      <c r="X59" s="103" t="n">
        <v>0</v>
      </c>
      <c r="Y59" s="106" t="n">
        <f aca="false">SUM(U59:X59)</f>
        <v>7.5</v>
      </c>
      <c r="Z59" s="103"/>
      <c r="AA59" s="103"/>
      <c r="AB59" s="103"/>
      <c r="AC59" s="103"/>
      <c r="AD59" s="103"/>
      <c r="AE59" s="103"/>
      <c r="AF59" s="103"/>
      <c r="AG59" s="103"/>
      <c r="AH59" s="103"/>
    </row>
    <row r="60" customFormat="false" ht="15" hidden="false" customHeight="false" outlineLevel="0" collapsed="false">
      <c r="A60" s="97"/>
      <c r="B60" s="127"/>
      <c r="C60" s="104" t="s">
        <v>234</v>
      </c>
      <c r="D60" s="105"/>
      <c r="E60" s="103"/>
      <c r="F60" s="103"/>
      <c r="G60" s="103"/>
      <c r="H60" s="103"/>
      <c r="I60" s="103"/>
      <c r="J60" s="103"/>
      <c r="K60" s="103"/>
      <c r="L60" s="103"/>
      <c r="M60" s="103"/>
      <c r="N60" s="103"/>
      <c r="O60" s="103"/>
      <c r="P60" s="103"/>
      <c r="Q60" s="106" t="n">
        <v>3</v>
      </c>
      <c r="R60" s="103"/>
      <c r="S60" s="103"/>
      <c r="T60" s="103"/>
      <c r="U60" s="105" t="n">
        <f aca="false">SUM(C60:Q60)</f>
        <v>3</v>
      </c>
      <c r="V60" s="103" t="n">
        <v>2</v>
      </c>
      <c r="W60" s="103" t="n">
        <v>2.5</v>
      </c>
      <c r="X60" s="103" t="n">
        <v>0</v>
      </c>
      <c r="Y60" s="106" t="n">
        <f aca="false">SUM(U60:X60)</f>
        <v>7.5</v>
      </c>
      <c r="Z60" s="103"/>
      <c r="AA60" s="103"/>
      <c r="AB60" s="103"/>
      <c r="AC60" s="103"/>
      <c r="AD60" s="103"/>
      <c r="AE60" s="103"/>
      <c r="AF60" s="103"/>
      <c r="AG60" s="103"/>
      <c r="AH60" s="103"/>
    </row>
    <row r="61" customFormat="false" ht="15" hidden="false" customHeight="false" outlineLevel="0" collapsed="false">
      <c r="A61" s="97"/>
      <c r="B61" s="127"/>
      <c r="C61" s="128" t="s">
        <v>235</v>
      </c>
      <c r="D61" s="129"/>
      <c r="E61" s="130"/>
      <c r="F61" s="130"/>
      <c r="G61" s="130"/>
      <c r="H61" s="130"/>
      <c r="I61" s="130"/>
      <c r="J61" s="130"/>
      <c r="K61" s="130"/>
      <c r="L61" s="130"/>
      <c r="M61" s="130"/>
      <c r="N61" s="130"/>
      <c r="O61" s="130"/>
      <c r="P61" s="130"/>
      <c r="Q61" s="131" t="n">
        <v>3</v>
      </c>
      <c r="R61" s="130"/>
      <c r="S61" s="130"/>
      <c r="T61" s="130"/>
      <c r="U61" s="129" t="n">
        <f aca="false">SUM(C61:Q61)</f>
        <v>3</v>
      </c>
      <c r="V61" s="130" t="n">
        <v>2</v>
      </c>
      <c r="W61" s="130" t="n">
        <v>2.5</v>
      </c>
      <c r="X61" s="130" t="n">
        <v>2</v>
      </c>
      <c r="Y61" s="131" t="n">
        <f aca="false">SUM(U61:X61)</f>
        <v>9.5</v>
      </c>
      <c r="Z61" s="103"/>
      <c r="AA61" s="103"/>
      <c r="AB61" s="103"/>
      <c r="AC61" s="103"/>
      <c r="AD61" s="103"/>
      <c r="AE61" s="103"/>
      <c r="AF61" s="103"/>
      <c r="AG61" s="103"/>
      <c r="AH61" s="103"/>
    </row>
    <row r="62" customFormat="false" ht="15" hidden="false" customHeight="false" outlineLevel="0" collapsed="false">
      <c r="A62" s="97" t="s">
        <v>154</v>
      </c>
      <c r="B62" s="132" t="n">
        <v>16</v>
      </c>
      <c r="C62" s="104" t="s">
        <v>236</v>
      </c>
      <c r="D62" s="105"/>
      <c r="E62" s="103"/>
      <c r="F62" s="103"/>
      <c r="G62" s="103"/>
      <c r="H62" s="103"/>
      <c r="I62" s="103"/>
      <c r="J62" s="103"/>
      <c r="K62" s="103"/>
      <c r="L62" s="103"/>
      <c r="M62" s="103"/>
      <c r="N62" s="103"/>
      <c r="O62" s="103"/>
      <c r="P62" s="103"/>
      <c r="Q62" s="103"/>
      <c r="R62" s="103"/>
      <c r="S62" s="103"/>
      <c r="T62" s="103" t="s">
        <v>154</v>
      </c>
      <c r="U62" s="103" t="n">
        <v>0</v>
      </c>
      <c r="V62" s="103" t="n">
        <v>0</v>
      </c>
      <c r="W62" s="103" t="n">
        <v>0</v>
      </c>
      <c r="X62" s="103" t="n">
        <v>0</v>
      </c>
      <c r="Y62" s="106" t="n">
        <f aca="false">SUM(U62:X62)</f>
        <v>0</v>
      </c>
      <c r="Z62" s="103"/>
      <c r="AA62" s="103"/>
      <c r="AB62" s="103"/>
      <c r="AC62" s="103"/>
      <c r="AD62" s="103"/>
      <c r="AE62" s="103"/>
      <c r="AF62" s="103"/>
      <c r="AG62" s="103"/>
      <c r="AH62" s="103"/>
    </row>
    <row r="63" customFormat="false" ht="15" hidden="false" customHeight="false" outlineLevel="0" collapsed="false">
      <c r="A63" s="97"/>
      <c r="B63" s="132"/>
      <c r="C63" s="104" t="s">
        <v>237</v>
      </c>
      <c r="D63" s="105"/>
      <c r="E63" s="103"/>
      <c r="F63" s="103"/>
      <c r="G63" s="103"/>
      <c r="H63" s="103"/>
      <c r="I63" s="103"/>
      <c r="J63" s="103"/>
      <c r="K63" s="103"/>
      <c r="L63" s="103"/>
      <c r="M63" s="103"/>
      <c r="N63" s="103"/>
      <c r="O63" s="103"/>
      <c r="P63" s="103"/>
      <c r="Q63" s="103"/>
      <c r="R63" s="103"/>
      <c r="S63" s="103"/>
      <c r="T63" s="103" t="s">
        <v>154</v>
      </c>
      <c r="U63" s="103" t="n">
        <v>0</v>
      </c>
      <c r="V63" s="103" t="n">
        <v>0</v>
      </c>
      <c r="W63" s="103" t="n">
        <v>0</v>
      </c>
      <c r="X63" s="103" t="n">
        <v>0</v>
      </c>
      <c r="Y63" s="106" t="n">
        <f aca="false">SUM(U63:X63)</f>
        <v>0</v>
      </c>
      <c r="Z63" s="103"/>
      <c r="AA63" s="103"/>
      <c r="AB63" s="103"/>
      <c r="AC63" s="103"/>
      <c r="AD63" s="103"/>
      <c r="AE63" s="103"/>
      <c r="AF63" s="103"/>
      <c r="AG63" s="103"/>
      <c r="AH63" s="103"/>
    </row>
    <row r="64" customFormat="false" ht="15" hidden="false" customHeight="false" outlineLevel="0" collapsed="false">
      <c r="A64" s="97"/>
      <c r="B64" s="132"/>
      <c r="C64" s="104" t="s">
        <v>238</v>
      </c>
      <c r="D64" s="105"/>
      <c r="E64" s="103"/>
      <c r="F64" s="103"/>
      <c r="G64" s="103"/>
      <c r="H64" s="103"/>
      <c r="I64" s="103"/>
      <c r="J64" s="103"/>
      <c r="K64" s="103"/>
      <c r="L64" s="103"/>
      <c r="M64" s="103"/>
      <c r="N64" s="103"/>
      <c r="O64" s="103"/>
      <c r="P64" s="103"/>
      <c r="Q64" s="103"/>
      <c r="R64" s="103"/>
      <c r="S64" s="103"/>
      <c r="T64" s="103" t="s">
        <v>154</v>
      </c>
      <c r="U64" s="103" t="n">
        <v>0</v>
      </c>
      <c r="V64" s="103" t="n">
        <v>0</v>
      </c>
      <c r="W64" s="103" t="n">
        <v>0</v>
      </c>
      <c r="X64" s="103" t="n">
        <v>0</v>
      </c>
      <c r="Y64" s="106" t="n">
        <f aca="false">SUM(U64:X64)</f>
        <v>0</v>
      </c>
      <c r="Z64" s="103"/>
      <c r="AA64" s="103"/>
      <c r="AB64" s="103"/>
      <c r="AC64" s="103"/>
      <c r="AD64" s="103"/>
      <c r="AE64" s="103"/>
      <c r="AF64" s="103"/>
      <c r="AG64" s="103"/>
      <c r="AH64" s="103"/>
    </row>
    <row r="65" customFormat="false" ht="15" hidden="false" customHeight="false" outlineLevel="0" collapsed="false">
      <c r="A65" s="97"/>
      <c r="B65" s="132"/>
      <c r="C65" s="104" t="s">
        <v>239</v>
      </c>
      <c r="D65" s="105"/>
      <c r="E65" s="103"/>
      <c r="F65" s="103"/>
      <c r="G65" s="103"/>
      <c r="H65" s="103"/>
      <c r="I65" s="103"/>
      <c r="J65" s="103"/>
      <c r="K65" s="103"/>
      <c r="L65" s="103"/>
      <c r="M65" s="103"/>
      <c r="N65" s="103"/>
      <c r="O65" s="103"/>
      <c r="P65" s="103"/>
      <c r="Q65" s="103"/>
      <c r="R65" s="103"/>
      <c r="S65" s="103"/>
      <c r="T65" s="103" t="s">
        <v>154</v>
      </c>
      <c r="U65" s="103" t="n">
        <v>0</v>
      </c>
      <c r="V65" s="103" t="n">
        <v>0</v>
      </c>
      <c r="W65" s="103" t="n">
        <v>0</v>
      </c>
      <c r="X65" s="103" t="n">
        <v>0</v>
      </c>
      <c r="Y65" s="106" t="n">
        <f aca="false">SUM(U65:X65)</f>
        <v>0</v>
      </c>
      <c r="Z65" s="103"/>
      <c r="AA65" s="103"/>
      <c r="AB65" s="103"/>
      <c r="AC65" s="103"/>
      <c r="AD65" s="103"/>
      <c r="AE65" s="103"/>
      <c r="AF65" s="103"/>
      <c r="AG65" s="103"/>
      <c r="AH65" s="103"/>
    </row>
    <row r="66" customFormat="false" ht="15" hidden="false" customHeight="false" outlineLevel="0" collapsed="false">
      <c r="A66" s="97"/>
      <c r="B66" s="107" t="n">
        <v>17</v>
      </c>
      <c r="C66" s="104" t="s">
        <v>240</v>
      </c>
      <c r="D66" s="105"/>
      <c r="E66" s="103"/>
      <c r="F66" s="103"/>
      <c r="G66" s="103"/>
      <c r="H66" s="103"/>
      <c r="I66" s="103"/>
      <c r="J66" s="103"/>
      <c r="K66" s="103"/>
      <c r="L66" s="103"/>
      <c r="M66" s="103"/>
      <c r="N66" s="103"/>
      <c r="O66" s="103"/>
      <c r="P66" s="103"/>
      <c r="Q66" s="103"/>
      <c r="R66" s="103"/>
      <c r="S66" s="103"/>
      <c r="T66" s="103" t="s">
        <v>154</v>
      </c>
      <c r="U66" s="103" t="n">
        <v>0</v>
      </c>
      <c r="V66" s="103" t="n">
        <v>0</v>
      </c>
      <c r="W66" s="103" t="n">
        <v>0</v>
      </c>
      <c r="X66" s="103" t="n">
        <v>0</v>
      </c>
      <c r="Y66" s="106" t="n">
        <f aca="false">SUM(U66:X66)</f>
        <v>0</v>
      </c>
      <c r="Z66" s="103"/>
      <c r="AA66" s="103"/>
      <c r="AB66" s="103"/>
      <c r="AC66" s="103"/>
      <c r="AD66" s="103"/>
      <c r="AE66" s="103"/>
      <c r="AF66" s="103"/>
      <c r="AG66" s="103"/>
      <c r="AH66" s="103"/>
    </row>
    <row r="67" customFormat="false" ht="15" hidden="false" customHeight="false" outlineLevel="0" collapsed="false">
      <c r="A67" s="97"/>
      <c r="B67" s="107"/>
      <c r="C67" s="104" t="s">
        <v>241</v>
      </c>
      <c r="D67" s="105"/>
      <c r="E67" s="103"/>
      <c r="F67" s="103"/>
      <c r="G67" s="103"/>
      <c r="H67" s="103"/>
      <c r="I67" s="103"/>
      <c r="J67" s="103"/>
      <c r="K67" s="103"/>
      <c r="L67" s="103"/>
      <c r="M67" s="103"/>
      <c r="N67" s="103"/>
      <c r="O67" s="103"/>
      <c r="P67" s="103"/>
      <c r="Q67" s="103"/>
      <c r="R67" s="103"/>
      <c r="S67" s="103"/>
      <c r="T67" s="103" t="s">
        <v>154</v>
      </c>
      <c r="U67" s="103" t="n">
        <v>0</v>
      </c>
      <c r="V67" s="103" t="n">
        <v>0</v>
      </c>
      <c r="W67" s="103" t="n">
        <v>0</v>
      </c>
      <c r="X67" s="103" t="n">
        <v>0</v>
      </c>
      <c r="Y67" s="106" t="n">
        <f aca="false">SUM(U67:X67)</f>
        <v>0</v>
      </c>
      <c r="Z67" s="103"/>
      <c r="AA67" s="103"/>
      <c r="AB67" s="103"/>
      <c r="AC67" s="103"/>
      <c r="AD67" s="103"/>
      <c r="AE67" s="103"/>
      <c r="AF67" s="103"/>
      <c r="AG67" s="103"/>
      <c r="AH67" s="103"/>
    </row>
    <row r="68" customFormat="false" ht="15" hidden="false" customHeight="false" outlineLevel="0" collapsed="false">
      <c r="A68" s="97"/>
      <c r="B68" s="107"/>
      <c r="C68" s="104" t="s">
        <v>242</v>
      </c>
      <c r="D68" s="105"/>
      <c r="E68" s="103"/>
      <c r="F68" s="103"/>
      <c r="G68" s="103"/>
      <c r="H68" s="103"/>
      <c r="I68" s="103"/>
      <c r="J68" s="103"/>
      <c r="K68" s="103"/>
      <c r="L68" s="103"/>
      <c r="M68" s="103"/>
      <c r="N68" s="103"/>
      <c r="O68" s="103"/>
      <c r="P68" s="103"/>
      <c r="Q68" s="103"/>
      <c r="R68" s="103"/>
      <c r="S68" s="103"/>
      <c r="T68" s="103" t="s">
        <v>154</v>
      </c>
      <c r="U68" s="103" t="n">
        <v>0</v>
      </c>
      <c r="V68" s="103" t="n">
        <v>0</v>
      </c>
      <c r="W68" s="103" t="n">
        <v>0</v>
      </c>
      <c r="X68" s="103" t="n">
        <v>0</v>
      </c>
      <c r="Y68" s="106" t="n">
        <f aca="false">SUM(U68:X68)</f>
        <v>0</v>
      </c>
      <c r="Z68" s="103"/>
      <c r="AA68" s="103"/>
      <c r="AB68" s="103"/>
      <c r="AC68" s="103"/>
      <c r="AD68" s="103"/>
      <c r="AE68" s="103"/>
      <c r="AF68" s="103"/>
      <c r="AG68" s="103"/>
      <c r="AH68" s="103"/>
    </row>
    <row r="69" customFormat="false" ht="15" hidden="false" customHeight="false" outlineLevel="0" collapsed="false">
      <c r="A69" s="97"/>
      <c r="B69" s="107"/>
      <c r="C69" s="104" t="s">
        <v>243</v>
      </c>
      <c r="D69" s="105"/>
      <c r="E69" s="103"/>
      <c r="F69" s="103"/>
      <c r="G69" s="103"/>
      <c r="H69" s="103"/>
      <c r="I69" s="103"/>
      <c r="J69" s="103"/>
      <c r="K69" s="103"/>
      <c r="L69" s="103"/>
      <c r="M69" s="103"/>
      <c r="N69" s="103"/>
      <c r="O69" s="103"/>
      <c r="P69" s="103"/>
      <c r="Q69" s="103"/>
      <c r="R69" s="103"/>
      <c r="S69" s="103"/>
      <c r="T69" s="103" t="s">
        <v>154</v>
      </c>
      <c r="U69" s="103" t="n">
        <v>0</v>
      </c>
      <c r="V69" s="103" t="n">
        <v>0</v>
      </c>
      <c r="W69" s="103" t="n">
        <v>0</v>
      </c>
      <c r="X69" s="103" t="n">
        <v>0</v>
      </c>
      <c r="Y69" s="106" t="n">
        <f aca="false">SUM(U69:X69)</f>
        <v>0</v>
      </c>
      <c r="Z69" s="103"/>
      <c r="AA69" s="103"/>
      <c r="AB69" s="103"/>
      <c r="AC69" s="103"/>
      <c r="AD69" s="103"/>
      <c r="AE69" s="103"/>
      <c r="AF69" s="103"/>
      <c r="AG69" s="103"/>
      <c r="AH69" s="103"/>
    </row>
    <row r="70" customFormat="false" ht="15" hidden="false" customHeight="false" outlineLevel="0" collapsed="false">
      <c r="A70" s="97"/>
      <c r="B70" s="107" t="n">
        <v>18</v>
      </c>
      <c r="C70" s="104" t="s">
        <v>244</v>
      </c>
      <c r="D70" s="105"/>
      <c r="E70" s="103"/>
      <c r="F70" s="103"/>
      <c r="G70" s="103"/>
      <c r="H70" s="103"/>
      <c r="I70" s="103"/>
      <c r="J70" s="103"/>
      <c r="K70" s="103"/>
      <c r="L70" s="103"/>
      <c r="M70" s="103"/>
      <c r="N70" s="103"/>
      <c r="O70" s="103"/>
      <c r="P70" s="103"/>
      <c r="Q70" s="103"/>
      <c r="R70" s="103"/>
      <c r="S70" s="103"/>
      <c r="T70" s="103" t="s">
        <v>154</v>
      </c>
      <c r="U70" s="103" t="n">
        <v>0</v>
      </c>
      <c r="V70" s="103" t="n">
        <v>0</v>
      </c>
      <c r="W70" s="103" t="n">
        <v>0</v>
      </c>
      <c r="X70" s="103" t="n">
        <v>0</v>
      </c>
      <c r="Y70" s="106" t="n">
        <f aca="false">SUM(U70:X70)</f>
        <v>0</v>
      </c>
      <c r="Z70" s="103"/>
      <c r="AA70" s="103"/>
      <c r="AB70" s="103"/>
      <c r="AC70" s="103"/>
      <c r="AD70" s="103"/>
      <c r="AE70" s="103"/>
      <c r="AF70" s="103"/>
      <c r="AG70" s="103"/>
      <c r="AH70" s="103"/>
    </row>
    <row r="71" customFormat="false" ht="15" hidden="false" customHeight="false" outlineLevel="0" collapsed="false">
      <c r="A71" s="97"/>
      <c r="B71" s="107"/>
      <c r="C71" s="104" t="s">
        <v>245</v>
      </c>
      <c r="D71" s="105"/>
      <c r="E71" s="103"/>
      <c r="F71" s="103"/>
      <c r="G71" s="103"/>
      <c r="H71" s="103"/>
      <c r="I71" s="103"/>
      <c r="J71" s="103"/>
      <c r="K71" s="103"/>
      <c r="L71" s="103"/>
      <c r="M71" s="103"/>
      <c r="N71" s="103"/>
      <c r="O71" s="103"/>
      <c r="P71" s="103"/>
      <c r="Q71" s="103"/>
      <c r="R71" s="103"/>
      <c r="S71" s="103"/>
      <c r="T71" s="103" t="s">
        <v>154</v>
      </c>
      <c r="U71" s="103" t="n">
        <v>0</v>
      </c>
      <c r="V71" s="103" t="n">
        <v>0</v>
      </c>
      <c r="W71" s="103" t="n">
        <v>0</v>
      </c>
      <c r="X71" s="103" t="n">
        <v>0</v>
      </c>
      <c r="Y71" s="106" t="n">
        <f aca="false">SUM(U71:X71)</f>
        <v>0</v>
      </c>
      <c r="Z71" s="103"/>
      <c r="AA71" s="103"/>
      <c r="AB71" s="103"/>
      <c r="AC71" s="103"/>
      <c r="AD71" s="103"/>
      <c r="AE71" s="103"/>
      <c r="AF71" s="103"/>
      <c r="AG71" s="103"/>
      <c r="AH71" s="103"/>
    </row>
    <row r="72" customFormat="false" ht="15" hidden="false" customHeight="false" outlineLevel="0" collapsed="false">
      <c r="A72" s="97"/>
      <c r="B72" s="107"/>
      <c r="C72" s="104" t="s">
        <v>246</v>
      </c>
      <c r="D72" s="105"/>
      <c r="E72" s="103"/>
      <c r="F72" s="103"/>
      <c r="G72" s="103"/>
      <c r="H72" s="103"/>
      <c r="I72" s="103"/>
      <c r="J72" s="103"/>
      <c r="K72" s="103"/>
      <c r="L72" s="103"/>
      <c r="M72" s="103"/>
      <c r="N72" s="103"/>
      <c r="O72" s="103"/>
      <c r="P72" s="103"/>
      <c r="Q72" s="103"/>
      <c r="R72" s="103"/>
      <c r="S72" s="103"/>
      <c r="T72" s="103" t="s">
        <v>154</v>
      </c>
      <c r="U72" s="103" t="n">
        <v>0</v>
      </c>
      <c r="V72" s="103" t="n">
        <v>0</v>
      </c>
      <c r="W72" s="103" t="n">
        <v>0</v>
      </c>
      <c r="X72" s="103" t="n">
        <v>0</v>
      </c>
      <c r="Y72" s="106" t="n">
        <f aca="false">SUM(U72:X72)</f>
        <v>0</v>
      </c>
      <c r="Z72" s="103"/>
      <c r="AA72" s="103"/>
      <c r="AB72" s="103"/>
      <c r="AC72" s="103"/>
      <c r="AD72" s="103"/>
      <c r="AE72" s="103"/>
      <c r="AF72" s="103"/>
      <c r="AG72" s="103"/>
      <c r="AH72" s="103"/>
    </row>
    <row r="73" customFormat="false" ht="15" hidden="false" customHeight="false" outlineLevel="0" collapsed="false">
      <c r="A73" s="97"/>
      <c r="B73" s="107"/>
      <c r="C73" s="104" t="s">
        <v>247</v>
      </c>
      <c r="D73" s="105"/>
      <c r="E73" s="103"/>
      <c r="F73" s="103"/>
      <c r="G73" s="103"/>
      <c r="H73" s="103"/>
      <c r="I73" s="103"/>
      <c r="J73" s="103"/>
      <c r="K73" s="103"/>
      <c r="L73" s="103"/>
      <c r="M73" s="103"/>
      <c r="N73" s="103"/>
      <c r="O73" s="103"/>
      <c r="P73" s="103"/>
      <c r="Q73" s="103"/>
      <c r="R73" s="103"/>
      <c r="S73" s="103"/>
      <c r="T73" s="103" t="s">
        <v>154</v>
      </c>
      <c r="U73" s="103" t="n">
        <v>0</v>
      </c>
      <c r="V73" s="103" t="n">
        <v>0</v>
      </c>
      <c r="W73" s="103" t="n">
        <v>0</v>
      </c>
      <c r="X73" s="103" t="n">
        <v>0</v>
      </c>
      <c r="Y73" s="106" t="n">
        <f aca="false">SUM(U73:X73)</f>
        <v>0</v>
      </c>
      <c r="Z73" s="103"/>
      <c r="AA73" s="103"/>
      <c r="AB73" s="103"/>
      <c r="AC73" s="103"/>
      <c r="AD73" s="103"/>
      <c r="AE73" s="103"/>
      <c r="AF73" s="103"/>
      <c r="AG73" s="103"/>
      <c r="AH73" s="103"/>
    </row>
    <row r="74" customFormat="false" ht="15" hidden="false" customHeight="false" outlineLevel="0" collapsed="false">
      <c r="A74" s="97"/>
      <c r="B74" s="127" t="n">
        <v>19</v>
      </c>
      <c r="C74" s="104" t="s">
        <v>248</v>
      </c>
      <c r="D74" s="105"/>
      <c r="E74" s="103"/>
      <c r="F74" s="103"/>
      <c r="G74" s="103"/>
      <c r="H74" s="103"/>
      <c r="I74" s="103"/>
      <c r="J74" s="103"/>
      <c r="K74" s="103"/>
      <c r="L74" s="103"/>
      <c r="M74" s="103"/>
      <c r="N74" s="103"/>
      <c r="O74" s="103"/>
      <c r="P74" s="103"/>
      <c r="Q74" s="103"/>
      <c r="R74" s="103"/>
      <c r="S74" s="103"/>
      <c r="T74" s="103" t="s">
        <v>154</v>
      </c>
      <c r="U74" s="103" t="n">
        <v>0</v>
      </c>
      <c r="V74" s="103" t="n">
        <v>0</v>
      </c>
      <c r="W74" s="103" t="n">
        <v>0</v>
      </c>
      <c r="X74" s="103" t="n">
        <v>0</v>
      </c>
      <c r="Y74" s="106" t="n">
        <f aca="false">SUM(U74:X74)</f>
        <v>0</v>
      </c>
      <c r="Z74" s="103"/>
      <c r="AA74" s="103"/>
      <c r="AB74" s="103"/>
      <c r="AC74" s="103"/>
      <c r="AD74" s="103"/>
      <c r="AE74" s="103"/>
      <c r="AF74" s="103"/>
      <c r="AG74" s="103"/>
      <c r="AH74" s="103"/>
    </row>
    <row r="75" customFormat="false" ht="15" hidden="false" customHeight="false" outlineLevel="0" collapsed="false">
      <c r="A75" s="97"/>
      <c r="B75" s="127"/>
      <c r="C75" s="104" t="s">
        <v>249</v>
      </c>
      <c r="D75" s="105"/>
      <c r="E75" s="103"/>
      <c r="F75" s="103"/>
      <c r="G75" s="103"/>
      <c r="H75" s="103"/>
      <c r="I75" s="103"/>
      <c r="J75" s="103"/>
      <c r="K75" s="103"/>
      <c r="L75" s="103"/>
      <c r="M75" s="103"/>
      <c r="N75" s="103"/>
      <c r="O75" s="103"/>
      <c r="P75" s="103"/>
      <c r="Q75" s="103"/>
      <c r="R75" s="103"/>
      <c r="S75" s="103"/>
      <c r="T75" s="103" t="s">
        <v>154</v>
      </c>
      <c r="U75" s="103" t="n">
        <v>0</v>
      </c>
      <c r="V75" s="103" t="n">
        <v>0</v>
      </c>
      <c r="W75" s="103" t="n">
        <v>0</v>
      </c>
      <c r="X75" s="103" t="n">
        <v>0</v>
      </c>
      <c r="Y75" s="106" t="n">
        <f aca="false">SUM(U75:X75)</f>
        <v>0</v>
      </c>
      <c r="Z75" s="103"/>
      <c r="AA75" s="103"/>
      <c r="AB75" s="103"/>
      <c r="AC75" s="103"/>
      <c r="AD75" s="103"/>
      <c r="AE75" s="103"/>
      <c r="AF75" s="103"/>
      <c r="AG75" s="103"/>
      <c r="AH75" s="103"/>
    </row>
    <row r="76" customFormat="false" ht="15" hidden="false" customHeight="false" outlineLevel="0" collapsed="false">
      <c r="A76" s="97"/>
      <c r="B76" s="127"/>
      <c r="C76" s="104" t="s">
        <v>250</v>
      </c>
      <c r="D76" s="105"/>
      <c r="E76" s="103"/>
      <c r="F76" s="103"/>
      <c r="G76" s="103"/>
      <c r="H76" s="103"/>
      <c r="I76" s="103"/>
      <c r="J76" s="103"/>
      <c r="K76" s="103"/>
      <c r="L76" s="103"/>
      <c r="M76" s="103"/>
      <c r="N76" s="103"/>
      <c r="O76" s="103"/>
      <c r="P76" s="103"/>
      <c r="Q76" s="103"/>
      <c r="R76" s="103"/>
      <c r="S76" s="103"/>
      <c r="T76" s="103" t="s">
        <v>154</v>
      </c>
      <c r="U76" s="103" t="n">
        <v>0</v>
      </c>
      <c r="V76" s="103" t="n">
        <v>0</v>
      </c>
      <c r="W76" s="103" t="n">
        <v>0</v>
      </c>
      <c r="X76" s="103" t="n">
        <v>0</v>
      </c>
      <c r="Y76" s="106" t="n">
        <f aca="false">SUM(U76:X76)</f>
        <v>0</v>
      </c>
      <c r="Z76" s="103"/>
      <c r="AA76" s="103"/>
      <c r="AB76" s="103"/>
      <c r="AC76" s="103"/>
      <c r="AD76" s="103"/>
      <c r="AE76" s="103"/>
      <c r="AF76" s="103"/>
      <c r="AG76" s="103"/>
      <c r="AH76" s="103"/>
    </row>
    <row r="77" customFormat="false" ht="15" hidden="false" customHeight="false" outlineLevel="0" collapsed="false">
      <c r="A77" s="97"/>
      <c r="B77" s="127"/>
      <c r="C77" s="128" t="s">
        <v>251</v>
      </c>
      <c r="D77" s="129"/>
      <c r="E77" s="130"/>
      <c r="F77" s="130"/>
      <c r="G77" s="130"/>
      <c r="H77" s="130"/>
      <c r="I77" s="130"/>
      <c r="J77" s="130"/>
      <c r="K77" s="130"/>
      <c r="L77" s="130"/>
      <c r="M77" s="130"/>
      <c r="N77" s="130"/>
      <c r="O77" s="130"/>
      <c r="P77" s="130"/>
      <c r="Q77" s="130"/>
      <c r="R77" s="130"/>
      <c r="S77" s="130"/>
      <c r="T77" s="130" t="s">
        <v>154</v>
      </c>
      <c r="U77" s="130" t="n">
        <v>0</v>
      </c>
      <c r="V77" s="130" t="n">
        <v>0</v>
      </c>
      <c r="W77" s="130" t="n">
        <v>0</v>
      </c>
      <c r="X77" s="130" t="n">
        <v>0</v>
      </c>
      <c r="Y77" s="131" t="n">
        <f aca="false">SUM(U77:X77)</f>
        <v>0</v>
      </c>
      <c r="Z77" s="103"/>
      <c r="AA77" s="103"/>
      <c r="AB77" s="103"/>
      <c r="AC77" s="103"/>
      <c r="AD77" s="103"/>
      <c r="AE77" s="103"/>
      <c r="AF77" s="103"/>
      <c r="AG77" s="103"/>
      <c r="AH77" s="103"/>
    </row>
    <row r="78" customFormat="false" ht="15" hidden="false" customHeight="false" outlineLevel="0" collapsed="false">
      <c r="A78" s="103"/>
      <c r="B78" s="103"/>
      <c r="C78" s="103"/>
      <c r="D78" s="133" t="n">
        <f aca="false">SUM(D2:D77)</f>
        <v>0</v>
      </c>
      <c r="E78" s="133" t="n">
        <f aca="false">SUM(E2:E77)</f>
        <v>4</v>
      </c>
      <c r="F78" s="133" t="n">
        <f aca="false">SUM(F2:F77)</f>
        <v>12</v>
      </c>
      <c r="G78" s="133" t="n">
        <f aca="false">SUM(G2:G77)</f>
        <v>15</v>
      </c>
      <c r="H78" s="133" t="n">
        <f aca="false">SUM(H2:H77)</f>
        <v>27</v>
      </c>
      <c r="I78" s="133" t="n">
        <f aca="false">SUM(I2:I77)</f>
        <v>12</v>
      </c>
      <c r="J78" s="133" t="n">
        <f aca="false">SUM(J2:J77)</f>
        <v>24</v>
      </c>
      <c r="K78" s="133" t="n">
        <f aca="false">SUM(K2:K77)</f>
        <v>9</v>
      </c>
      <c r="L78" s="133" t="n">
        <f aca="false">SUM(L2:L77)</f>
        <v>12</v>
      </c>
      <c r="M78" s="133" t="n">
        <f aca="false">SUM(M2:M77)</f>
        <v>21</v>
      </c>
      <c r="N78" s="133" t="n">
        <f aca="false">SUM(N2:N77)</f>
        <v>18</v>
      </c>
      <c r="O78" s="133" t="n">
        <f aca="false">SUM(O2:O77)</f>
        <v>15</v>
      </c>
      <c r="P78" s="133" t="n">
        <f aca="false">SUM(P2:P77)</f>
        <v>15</v>
      </c>
      <c r="Q78" s="133" t="n">
        <f aca="false">SUM(Q2:Q77)</f>
        <v>9</v>
      </c>
      <c r="R78" s="133" t="n">
        <f aca="false">SUM(R2:R77)</f>
        <v>30</v>
      </c>
      <c r="S78" s="133" t="n">
        <f aca="false">SUM(S2:S77)</f>
        <v>0</v>
      </c>
      <c r="T78" s="103"/>
      <c r="U78" s="103"/>
      <c r="V78" s="103"/>
      <c r="W78" s="103"/>
      <c r="X78" s="103"/>
      <c r="Y78" s="103"/>
      <c r="Z78" s="103"/>
      <c r="AA78" s="103"/>
      <c r="AB78" s="103"/>
      <c r="AC78" s="103"/>
      <c r="AD78" s="103"/>
      <c r="AE78" s="103"/>
      <c r="AF78" s="103"/>
      <c r="AG78" s="103"/>
      <c r="AH78" s="103"/>
    </row>
    <row r="79" customFormat="false" ht="15" hidden="false" customHeight="false" outlineLevel="0" collapsed="false">
      <c r="A79" s="103"/>
      <c r="B79" s="103"/>
      <c r="C79" s="103"/>
      <c r="D79" s="103"/>
      <c r="E79" s="103"/>
      <c r="F79" s="103"/>
      <c r="G79" s="103"/>
      <c r="H79" s="103"/>
      <c r="I79" s="103"/>
      <c r="J79" s="103"/>
      <c r="K79" s="103"/>
      <c r="L79" s="103"/>
      <c r="M79" s="103"/>
      <c r="N79" s="103"/>
      <c r="O79" s="103"/>
      <c r="P79" s="103"/>
      <c r="Q79" s="103"/>
      <c r="R79" s="103"/>
      <c r="S79" s="103"/>
      <c r="T79" s="103"/>
      <c r="U79" s="134" t="n">
        <f aca="false">SUM(U2:U77)</f>
        <v>189</v>
      </c>
      <c r="V79" s="135" t="n">
        <f aca="false">SUM(V2:V77)</f>
        <v>120</v>
      </c>
      <c r="W79" s="135" t="n">
        <f aca="false">SUM(W2:W77)</f>
        <v>150</v>
      </c>
      <c r="X79" s="135" t="n">
        <f aca="false">SUM(X2:X77)</f>
        <v>24</v>
      </c>
      <c r="Y79" s="136" t="n">
        <f aca="false">SUM(Y2:Y77)</f>
        <v>483</v>
      </c>
      <c r="Z79" s="103"/>
      <c r="AA79" s="103"/>
      <c r="AB79" s="103"/>
      <c r="AC79" s="103"/>
      <c r="AD79" s="103"/>
      <c r="AE79" s="103"/>
      <c r="AF79" s="103"/>
      <c r="AG79" s="103"/>
      <c r="AH79" s="103"/>
    </row>
    <row r="80" customFormat="false" ht="15" hidden="false" customHeight="false" outlineLevel="0" collapsed="false">
      <c r="A80" s="103"/>
      <c r="B80" s="103"/>
      <c r="C80" s="137" t="s">
        <v>252</v>
      </c>
      <c r="D80" s="137"/>
      <c r="E80" s="102" t="n">
        <v>60</v>
      </c>
      <c r="F80" s="103"/>
      <c r="G80" s="103"/>
      <c r="H80" s="103"/>
      <c r="I80" s="103"/>
      <c r="J80" s="103"/>
      <c r="K80" s="103"/>
      <c r="L80" s="103"/>
      <c r="M80" s="103"/>
      <c r="N80" s="103"/>
      <c r="O80" s="103"/>
      <c r="P80" s="103"/>
      <c r="Q80" s="103"/>
      <c r="R80" s="103"/>
      <c r="S80" s="103"/>
      <c r="T80" s="103"/>
      <c r="U80" s="103"/>
      <c r="V80" s="103"/>
      <c r="W80" s="103"/>
      <c r="X80" s="103"/>
      <c r="Y80" s="138" t="s">
        <v>253</v>
      </c>
      <c r="Z80" s="103"/>
      <c r="AA80" s="103"/>
      <c r="AB80" s="103"/>
      <c r="AC80" s="103"/>
      <c r="AD80" s="103"/>
      <c r="AE80" s="103"/>
      <c r="AF80" s="103"/>
      <c r="AG80" s="103"/>
      <c r="AH80" s="103"/>
    </row>
    <row r="81" customFormat="false" ht="15" hidden="false" customHeight="false" outlineLevel="0" collapsed="false">
      <c r="A81" s="103"/>
      <c r="B81" s="103"/>
      <c r="C81" s="139" t="s">
        <v>254</v>
      </c>
      <c r="D81" s="139"/>
      <c r="E81" s="106" t="n">
        <v>322.5</v>
      </c>
      <c r="F81" s="103"/>
      <c r="G81" s="103"/>
      <c r="H81" s="103"/>
      <c r="I81" s="103"/>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row>
    <row r="82" customFormat="false" ht="15" hidden="false" customHeight="false" outlineLevel="0" collapsed="false">
      <c r="A82" s="103"/>
      <c r="B82" s="103"/>
      <c r="C82" s="139" t="s">
        <v>255</v>
      </c>
      <c r="D82" s="139"/>
      <c r="E82" s="106" t="n">
        <v>35</v>
      </c>
      <c r="F82" s="103"/>
      <c r="G82" s="103"/>
      <c r="H82" s="103"/>
      <c r="I82" s="103"/>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row>
    <row r="83" customFormat="false" ht="15" hidden="false" customHeight="false" outlineLevel="0" collapsed="false">
      <c r="A83" s="103"/>
      <c r="B83" s="103"/>
      <c r="C83" s="139" t="s">
        <v>256</v>
      </c>
      <c r="D83" s="139"/>
      <c r="E83" s="106" t="n">
        <v>287</v>
      </c>
      <c r="F83" s="103"/>
      <c r="G83" s="103"/>
      <c r="H83" s="103"/>
      <c r="I83" s="103"/>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row>
    <row r="84" customFormat="false" ht="15" hidden="false" customHeight="false" outlineLevel="0" collapsed="false">
      <c r="A84" s="103"/>
      <c r="B84" s="103"/>
      <c r="C84" s="139" t="s">
        <v>257</v>
      </c>
      <c r="D84" s="139"/>
      <c r="E84" s="106" t="n">
        <v>60</v>
      </c>
      <c r="F84" s="103"/>
      <c r="G84" s="103"/>
      <c r="H84" s="103"/>
      <c r="I84" s="103"/>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row>
    <row r="85" customFormat="false" ht="15" hidden="false" customHeight="false" outlineLevel="0" collapsed="false">
      <c r="A85" s="103"/>
      <c r="B85" s="103"/>
      <c r="C85" s="140" t="s">
        <v>258</v>
      </c>
      <c r="D85" s="140"/>
      <c r="E85" s="131" t="n">
        <f aca="false">Y79</f>
        <v>483</v>
      </c>
      <c r="F85" s="103"/>
      <c r="G85" s="103"/>
      <c r="H85" s="103"/>
      <c r="I85" s="103"/>
      <c r="J85" s="103"/>
      <c r="K85" s="103"/>
      <c r="L85" s="103"/>
      <c r="M85" s="103"/>
      <c r="N85" s="103"/>
      <c r="O85" s="103"/>
      <c r="P85" s="103"/>
      <c r="Q85" s="103"/>
      <c r="R85" s="103"/>
      <c r="S85" s="103"/>
      <c r="T85" s="103"/>
      <c r="Z85" s="103"/>
      <c r="AA85" s="103"/>
      <c r="AB85" s="103"/>
      <c r="AC85" s="103"/>
      <c r="AD85" s="103"/>
      <c r="AE85" s="103"/>
      <c r="AF85" s="103"/>
      <c r="AG85" s="103"/>
      <c r="AH85" s="103"/>
    </row>
    <row r="86" customFormat="false" ht="15" hidden="false" customHeight="false" outlineLevel="0" collapsed="false">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row>
  </sheetData>
  <mergeCells count="27">
    <mergeCell ref="A2:A61"/>
    <mergeCell ref="B2:B5"/>
    <mergeCell ref="B6:B9"/>
    <mergeCell ref="B10:B13"/>
    <mergeCell ref="B14:B17"/>
    <mergeCell ref="B18:B21"/>
    <mergeCell ref="B22:B25"/>
    <mergeCell ref="B26:B29"/>
    <mergeCell ref="B30:B33"/>
    <mergeCell ref="B34:B37"/>
    <mergeCell ref="B38:B41"/>
    <mergeCell ref="B42:B45"/>
    <mergeCell ref="B46:B49"/>
    <mergeCell ref="B50:B53"/>
    <mergeCell ref="B54:B57"/>
    <mergeCell ref="B58:B61"/>
    <mergeCell ref="A62:A77"/>
    <mergeCell ref="B62:B65"/>
    <mergeCell ref="B66:B69"/>
    <mergeCell ref="B70:B73"/>
    <mergeCell ref="B74:B77"/>
    <mergeCell ref="C80:D80"/>
    <mergeCell ref="C81:D81"/>
    <mergeCell ref="C82:D82"/>
    <mergeCell ref="C83:D83"/>
    <mergeCell ref="C84:D84"/>
    <mergeCell ref="C85:D8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
    </sheetView>
  </sheetViews>
  <sheetFormatPr defaultColWidth="8.6796875" defaultRowHeight="15" customHeight="true" zeroHeight="false" outlineLevelRow="0" outlineLevelCol="0"/>
  <cols>
    <col collapsed="false" customWidth="true" hidden="false" outlineLevel="0" max="1" min="1" style="1" width="29.57"/>
    <col collapsed="false" customWidth="true" hidden="false" outlineLevel="0" max="2" min="2" style="1" width="12"/>
    <col collapsed="false" customWidth="true" hidden="false" outlineLevel="0" max="3" min="3" style="1" width="11"/>
    <col collapsed="false" customWidth="true" hidden="false" outlineLevel="0" max="6" min="6" style="1" width="12"/>
  </cols>
  <sheetData>
    <row r="1" customFormat="false" ht="15" hidden="false" customHeight="false" outlineLevel="0" collapsed="false">
      <c r="A1" s="42" t="s">
        <v>259</v>
      </c>
    </row>
    <row r="4" customFormat="false" ht="15" hidden="false" customHeight="false" outlineLevel="0" collapsed="false">
      <c r="A4" s="1" t="s">
        <v>260</v>
      </c>
      <c r="B4" s="141" t="n">
        <v>43739</v>
      </c>
      <c r="D4" s="1" t="s">
        <v>261</v>
      </c>
    </row>
    <row r="5" customFormat="false" ht="15" hidden="false" customHeight="false" outlineLevel="0" collapsed="false">
      <c r="A5" s="1" t="s">
        <v>262</v>
      </c>
      <c r="B5" s="141" t="n">
        <v>44621</v>
      </c>
      <c r="D5" s="1" t="s">
        <v>261</v>
      </c>
    </row>
    <row r="6" customFormat="false" ht="15" hidden="false" customHeight="false" outlineLevel="0" collapsed="false">
      <c r="A6" s="1" t="s">
        <v>263</v>
      </c>
      <c r="B6" s="142" t="n">
        <f aca="false">B5-B4</f>
        <v>882</v>
      </c>
      <c r="D6" s="1" t="s">
        <v>264</v>
      </c>
    </row>
    <row r="7" customFormat="false" ht="15" hidden="false" customHeight="false" outlineLevel="0" collapsed="false">
      <c r="A7" s="1" t="s">
        <v>265</v>
      </c>
      <c r="B7" s="143" t="n">
        <f aca="false">B6/365</f>
        <v>2.41643835616438</v>
      </c>
      <c r="D7" s="1" t="s">
        <v>264</v>
      </c>
    </row>
    <row r="8" customFormat="false" ht="15" hidden="false" customHeight="false" outlineLevel="0" collapsed="false">
      <c r="A8" s="1" t="s">
        <v>266</v>
      </c>
      <c r="B8" s="144" t="n">
        <v>7.5</v>
      </c>
      <c r="D8" s="1" t="s">
        <v>261</v>
      </c>
    </row>
    <row r="10" customFormat="false" ht="15" hidden="false" customHeight="false" outlineLevel="0" collapsed="false">
      <c r="A10" s="42" t="s">
        <v>267</v>
      </c>
      <c r="C10" s="145" t="n">
        <f aca="false">260*B8*0.2*B7</f>
        <v>942.41095890411</v>
      </c>
      <c r="F10" s="146" t="s">
        <v>268</v>
      </c>
    </row>
    <row r="11" customFormat="false" ht="15" hidden="false" customHeight="false" outlineLevel="0" collapsed="false">
      <c r="F11" s="146" t="s">
        <v>269</v>
      </c>
    </row>
    <row r="12" customFormat="false" ht="15" hidden="false" customHeight="false" outlineLevel="0" collapsed="false">
      <c r="A12" s="42" t="s">
        <v>270</v>
      </c>
      <c r="C12" s="147" t="e">
        <f aca="false">'otjt log'!#ref!</f>
        <v>#VALUE!</v>
      </c>
      <c r="D12" s="1" t="s">
        <v>264</v>
      </c>
    </row>
    <row r="14" customFormat="false" ht="15" hidden="false" customHeight="false" outlineLevel="0" collapsed="false">
      <c r="A14" s="42" t="s">
        <v>271</v>
      </c>
      <c r="C14" s="148" t="e">
        <f aca="false">C12-C10</f>
        <v>#VALUE!</v>
      </c>
    </row>
    <row r="17" customFormat="false" ht="15" hidden="false" customHeight="false" outlineLevel="0" collapsed="false">
      <c r="A17" s="149" t="s">
        <v>272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D7" activeCellId="0" sqref="D7"/>
    </sheetView>
  </sheetViews>
  <sheetFormatPr defaultColWidth="8.6796875" defaultRowHeight="15" customHeight="true" zeroHeight="false" outlineLevelRow="0" outlineLevelCol="0"/>
  <cols>
    <col collapsed="false" customWidth="true" hidden="false" outlineLevel="0" max="2" min="2" style="1" width="110.42"/>
    <col collapsed="false" customWidth="true" hidden="false" outlineLevel="0" max="7" min="7" style="1" width="6.43"/>
    <col collapsed="false" customWidth="true" hidden="true" outlineLevel="0" max="8" min="8" style="1" width="7.29"/>
    <col collapsed="false" customWidth="true" hidden="true" outlineLevel="0" max="9" min="9" style="1" width="6.85"/>
    <col collapsed="false" customWidth="true" hidden="true" outlineLevel="0" max="14" min="10" style="1" width="9.14"/>
  </cols>
  <sheetData>
    <row r="1" customFormat="false" ht="15" hidden="false" customHeight="false" outlineLevel="0" collapsed="false">
      <c r="A1" s="2"/>
      <c r="B1" s="2"/>
      <c r="C1" s="2"/>
      <c r="D1" s="2"/>
      <c r="E1" s="2"/>
      <c r="F1" s="2"/>
      <c r="G1" s="2"/>
      <c r="H1" s="2"/>
      <c r="I1" s="2"/>
      <c r="J1" s="2"/>
      <c r="K1" s="2"/>
      <c r="L1" s="2"/>
      <c r="M1" s="2"/>
      <c r="N1" s="2"/>
      <c r="O1" s="2"/>
      <c r="P1" s="2"/>
      <c r="Q1" s="2"/>
      <c r="R1" s="2"/>
      <c r="S1" s="2"/>
    </row>
    <row r="2" customFormat="false" ht="17.35" hidden="false" customHeight="false" outlineLevel="0" collapsed="false">
      <c r="A2" s="2"/>
      <c r="B2" s="150" t="s">
        <v>273</v>
      </c>
      <c r="C2" s="151"/>
      <c r="D2" s="151"/>
      <c r="E2" s="152"/>
      <c r="F2" s="2"/>
      <c r="G2" s="2"/>
      <c r="H2" s="2"/>
      <c r="I2" s="2"/>
      <c r="J2" s="2"/>
      <c r="K2" s="2"/>
      <c r="L2" s="63"/>
      <c r="M2" s="63"/>
      <c r="N2" s="2"/>
      <c r="O2" s="2"/>
      <c r="P2" s="2"/>
      <c r="Q2" s="2"/>
      <c r="R2" s="2"/>
      <c r="S2" s="2"/>
    </row>
    <row r="3" customFormat="false" ht="15" hidden="false" customHeight="false" outlineLevel="0" collapsed="false">
      <c r="A3" s="2"/>
      <c r="B3" s="153" t="s">
        <v>274</v>
      </c>
      <c r="C3" s="154"/>
      <c r="D3" s="154"/>
      <c r="E3" s="154"/>
      <c r="F3" s="154"/>
      <c r="G3" s="154"/>
      <c r="H3" s="154"/>
      <c r="I3" s="154"/>
      <c r="J3" s="154"/>
      <c r="K3" s="154"/>
      <c r="L3" s="154"/>
      <c r="M3" s="154"/>
      <c r="N3" s="154"/>
      <c r="O3" s="2"/>
      <c r="P3" s="2"/>
      <c r="Q3" s="2"/>
      <c r="R3" s="2"/>
      <c r="S3" s="2"/>
    </row>
    <row r="4" customFormat="false" ht="15" hidden="false" customHeight="false" outlineLevel="0" collapsed="false">
      <c r="A4" s="2"/>
      <c r="B4" s="155" t="s">
        <v>275</v>
      </c>
      <c r="C4" s="154"/>
      <c r="D4" s="154"/>
      <c r="E4" s="154"/>
      <c r="F4" s="154"/>
      <c r="G4" s="154"/>
      <c r="H4" s="154"/>
      <c r="I4" s="154"/>
      <c r="J4" s="154"/>
      <c r="K4" s="154"/>
      <c r="L4" s="154"/>
      <c r="M4" s="154"/>
      <c r="N4" s="154"/>
      <c r="O4" s="2"/>
      <c r="P4" s="2"/>
      <c r="Q4" s="2"/>
      <c r="R4" s="2"/>
      <c r="S4" s="2"/>
    </row>
    <row r="5" customFormat="false" ht="39" hidden="false" customHeight="true" outlineLevel="0" collapsed="false">
      <c r="A5" s="2"/>
      <c r="B5" s="156" t="s">
        <v>276</v>
      </c>
      <c r="C5" s="156"/>
      <c r="D5" s="156"/>
      <c r="E5" s="156"/>
      <c r="F5" s="156"/>
      <c r="G5" s="156"/>
      <c r="H5" s="156"/>
      <c r="I5" s="156"/>
      <c r="J5" s="156"/>
      <c r="K5" s="156"/>
      <c r="L5" s="156"/>
      <c r="M5" s="156"/>
      <c r="N5" s="156"/>
      <c r="O5" s="63"/>
      <c r="P5" s="2"/>
      <c r="Q5" s="2"/>
      <c r="R5" s="2"/>
      <c r="S5" s="2"/>
    </row>
    <row r="6" customFormat="false" ht="15" hidden="false" customHeight="false" outlineLevel="0" collapsed="false">
      <c r="A6" s="2"/>
      <c r="B6" s="157" t="s">
        <v>277</v>
      </c>
      <c r="C6" s="157"/>
      <c r="D6" s="157"/>
      <c r="E6" s="158"/>
      <c r="F6" s="159"/>
      <c r="G6" s="157"/>
      <c r="H6" s="157"/>
      <c r="I6" s="157"/>
      <c r="J6" s="159"/>
      <c r="K6" s="157"/>
      <c r="L6" s="160"/>
      <c r="M6" s="158"/>
      <c r="N6" s="157"/>
      <c r="O6" s="63"/>
      <c r="P6" s="63"/>
      <c r="Q6" s="2"/>
      <c r="R6" s="2"/>
      <c r="S6" s="2"/>
    </row>
    <row r="7" customFormat="false" ht="15" hidden="false" customHeight="false" outlineLevel="0" collapsed="false">
      <c r="A7" s="2"/>
      <c r="B7" s="2"/>
      <c r="C7" s="2"/>
      <c r="D7" s="2"/>
      <c r="E7" s="2"/>
      <c r="F7" s="63"/>
      <c r="G7" s="2"/>
      <c r="H7" s="2"/>
      <c r="I7" s="2"/>
      <c r="J7" s="63"/>
      <c r="K7" s="2"/>
      <c r="L7" s="2"/>
      <c r="M7" s="2"/>
      <c r="N7" s="2"/>
      <c r="O7" s="63"/>
      <c r="P7" s="2"/>
      <c r="Q7" s="63"/>
      <c r="R7" s="2"/>
      <c r="S7" s="2"/>
    </row>
    <row r="8" customFormat="false" ht="15" hidden="false" customHeight="false" outlineLevel="0" collapsed="false">
      <c r="A8" s="2"/>
      <c r="B8" s="2"/>
      <c r="C8" s="2"/>
      <c r="D8" s="2"/>
      <c r="E8" s="2"/>
      <c r="F8" s="2"/>
      <c r="G8" s="2"/>
      <c r="H8" s="2"/>
      <c r="I8" s="2"/>
      <c r="J8" s="2"/>
      <c r="K8" s="2"/>
      <c r="L8" s="2"/>
      <c r="M8" s="2"/>
      <c r="N8" s="2"/>
      <c r="O8" s="2"/>
      <c r="P8" s="2"/>
      <c r="Q8" s="2"/>
      <c r="R8" s="2"/>
      <c r="S8" s="2"/>
    </row>
    <row r="9" customFormat="false" ht="15" hidden="false" customHeight="false" outlineLevel="0" collapsed="false">
      <c r="B9" s="161"/>
      <c r="C9" s="162"/>
      <c r="D9" s="162"/>
      <c r="E9" s="162"/>
      <c r="F9" s="162"/>
    </row>
    <row r="10" customFormat="false" ht="15" hidden="false" customHeight="false" outlineLevel="0" collapsed="false">
      <c r="B10" s="163" t="s">
        <v>278</v>
      </c>
    </row>
    <row r="11" customFormat="false" ht="15" hidden="false" customHeight="false" outlineLevel="0" collapsed="false">
      <c r="B11" s="163"/>
    </row>
    <row r="12" customFormat="false" ht="15" hidden="false" customHeight="false" outlineLevel="0" collapsed="false">
      <c r="B12" s="163"/>
    </row>
    <row r="13" customFormat="false" ht="15" hidden="false" customHeight="false" outlineLevel="0" collapsed="false">
      <c r="B13" s="163"/>
    </row>
    <row r="14" customFormat="false" ht="15" hidden="false" customHeight="false" outlineLevel="0" collapsed="false">
      <c r="B14" s="163"/>
    </row>
    <row r="21" customFormat="false" ht="15" hidden="false" customHeight="false" outlineLevel="0" collapsed="false">
      <c r="R21" s="164"/>
    </row>
  </sheetData>
  <mergeCells count="2">
    <mergeCell ref="B5:N5"/>
    <mergeCell ref="B10:B14"/>
  </mergeCells>
  <dataValidations count="2">
    <dataValidation allowBlank="true" errorStyle="stop" operator="between" prompt="Date when the exam was completed" showDropDown="false" showErrorMessage="true" showInputMessage="true" sqref="D9" type="none">
      <formula1>0</formula1>
      <formula2>0</formula2>
    </dataValidation>
    <dataValidation allowBlank="true" errorStyle="stop" operator="between" prompt="Please note any extra study leave you received during work hours" showDropDown="false" showErrorMessage="true" showInputMessage="true" sqref="F9"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b1023a92-dbec-45a4-bb83-a4551f519714">
      <UserInfo>
        <DisplayName>Craig Stevens</DisplayName>
        <AccountId>17</AccountId>
        <AccountType/>
      </UserInfo>
      <UserInfo>
        <DisplayName>Afzan Matloob</DisplayName>
        <AccountId>46</AccountId>
        <AccountType/>
      </UserInfo>
    </SharedWithUsers>
    <_activity xmlns="bad96bf2-a978-419b-857e-f041088cbe2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EE32E084D91FD4283E80A6FB1C1380B" ma:contentTypeVersion="14" ma:contentTypeDescription="Create a new document." ma:contentTypeScope="" ma:versionID="54ea750e0a0f326e2111beccd9c87066">
  <xsd:schema xmlns:xsd="http://www.w3.org/2001/XMLSchema" xmlns:xs="http://www.w3.org/2001/XMLSchema" xmlns:p="http://schemas.microsoft.com/office/2006/metadata/properties" xmlns:ns3="bad96bf2-a978-419b-857e-f041088cbe29" xmlns:ns4="b1023a92-dbec-45a4-bb83-a4551f519714" targetNamespace="http://schemas.microsoft.com/office/2006/metadata/properties" ma:root="true" ma:fieldsID="413a4c7486017379570c1da3f7b843fa" ns3:_="" ns4:_="">
    <xsd:import namespace="bad96bf2-a978-419b-857e-f041088cbe29"/>
    <xsd:import namespace="b1023a92-dbec-45a4-bb83-a4551f51971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ad96bf2-a978-419b-857e-f041088cbe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1023a92-dbec-45a4-bb83-a4551f51971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F627C2A1-639E-4000-94D7-FA9740411AFB}">
  <ds:schemaRefs>
    <ds:schemaRef ds:uri="http://schemas.microsoft.com/office/2006/documentManagement/types"/>
    <ds:schemaRef ds:uri="http://schemas.openxmlformats.org/package/2006/metadata/core-properties"/>
    <ds:schemaRef ds:uri="http://schemas.microsoft.com/office/2006/metadata/properties"/>
    <ds:schemaRef ds:uri="b1023a92-dbec-45a4-bb83-a4551f519714"/>
    <ds:schemaRef ds:uri="http://purl.org/dc/dcmitype/"/>
    <ds:schemaRef ds:uri="http://purl.org/dc/elements/1.1/"/>
    <ds:schemaRef ds:uri="http://www.w3.org/XML/1998/namespace"/>
    <ds:schemaRef ds:uri="http://purl.org/dc/terms/"/>
    <ds:schemaRef ds:uri="bad96bf2-a978-419b-857e-f041088cbe29"/>
    <ds:schemaRef ds:uri="http://schemas.microsoft.com/office/infopath/2007/PartnerControls"/>
  </ds:schemaRefs>
</ds:datastoreItem>
</file>

<file path=customXml/itemProps3.xml><?xml version="1.0" encoding="utf-8"?>
<ds:datastoreItem xmlns:ds="http://schemas.openxmlformats.org/officeDocument/2006/customXml" ds:itemID="{7B2A4EB8-8E9D-424D-B827-F9A389FEA1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ad96bf2-a978-419b-857e-f041088cbe29"/>
    <ds:schemaRef ds:uri="b1023a92-dbec-45a4-bb83-a4551f5197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7151eb3-00ab-470c-b25c-644c7691e891}"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Template/>
  <TotalTime>56</TotalTime>
  <Application>LibreOffice/25.8.5.2$Windows_X86_64 LibreOffice_project/9c8b85f387cc00a89945a79c9e6239f32e450ac2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2020-04-03T13:39:35Z</dcterms:created>
  <dc:creator>Justine Zemele</dc:creator>
  <dc:description/>
  <dc:language>en-GB</dc:language>
  <cp:lastModifiedBy/>
  <dcterms:modified xsi:type="dcterms:W3CDTF">2026-04-20T10:24:31Z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etency">
    <vt:lpwstr/>
  </property>
  <property fmtid="{D5CDD505-2E9C-101B-9397-08002B2CF9AE}" pid="3" name="ComplianceAssetId">
    <vt:lpwstr/>
  </property>
  <property fmtid="{D5CDD505-2E9C-101B-9397-08002B2CF9AE}" pid="4" name="ContentTypeId">
    <vt:lpwstr>0x010100CEE32E084D91FD4283E80A6FB1C1380B</vt:lpwstr>
  </property>
  <property fmtid="{D5CDD505-2E9C-101B-9397-08002B2CF9AE}" pid="5" name="KSB">
    <vt:lpwstr/>
  </property>
  <property fmtid="{D5CDD505-2E9C-101B-9397-08002B2CF9AE}" pid="6" name="MediaServiceImageTags">
    <vt:lpwstr/>
  </property>
  <property fmtid="{D5CDD505-2E9C-101B-9397-08002B2CF9AE}" pid="7" name="Order">
    <vt:r8>17800</vt:r8>
  </property>
  <property fmtid="{D5CDD505-2E9C-101B-9397-08002B2CF9AE}" pid="8" name="TemplateUrl">
    <vt:lpwstr/>
  </property>
  <property fmtid="{D5CDD505-2E9C-101B-9397-08002B2CF9AE}" pid="9" name="TriggerFlowInfo">
    <vt:lpwstr/>
  </property>
  <property fmtid="{D5CDD505-2E9C-101B-9397-08002B2CF9AE}" pid="10" name="_ExtendedDescription">
    <vt:lpwstr/>
  </property>
  <property fmtid="{D5CDD505-2E9C-101B-9397-08002B2CF9AE}" pid="11" name="completedorworkinprogress">
    <vt:bool>1</vt:bool>
  </property>
  <property fmtid="{D5CDD505-2E9C-101B-9397-08002B2CF9AE}" pid="12" name="xd_ProgID">
    <vt:lpwstr/>
  </property>
  <property fmtid="{D5CDD505-2E9C-101B-9397-08002B2CF9AE}" pid="13" name="xd_Signature">
    <vt:bool>0</vt:bool>
  </property>
</Properties>
</file>