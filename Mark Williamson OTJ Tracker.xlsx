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media/image1.png" ContentType="image/png"/>
  <Override PartName="/xl/media/image2.png" ContentType="image/png"/>
  <Override PartName="/xl/drawings/drawing1.xml" ContentType="application/vnd.openxmlformats-officedocument.drawing+xml"/>
  <Override PartName="/xl/drawings/_rels/drawing1.xml.rels" ContentType="application/vnd.openxmlformats-package.relationship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Metadata/LabelInfo.xml" ContentType="application/xml"/>
  <Override PartName="/customXml/item1.xml" ContentType="application/xml"/>
  <Override PartName="/customXml/itemProps1.xml" ContentType="application/vnd.openxmlformats-officedocument.customXmlProperties+xml"/>
  <Override PartName="/customXml/item2.xml" ContentType="application/xml"/>
  <Override PartName="/customXml/_rels/item1.xml.rels" ContentType="application/vnd.openxmlformats-package.relationships+xml"/>
  <Override PartName="/customXml/_rels/item2.xml.rels" ContentType="application/vnd.openxmlformats-package.relationships+xml"/>
  <Override PartName="/customXml/_rels/item3.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TJT Log" sheetId="1" state="visible" r:id="rId3"/>
    <sheet name="FAQs" sheetId="2" state="hidden" r:id="rId4"/>
    <sheet name="Calculation Rules" sheetId="3" state="hidden" r:id="rId5"/>
    <sheet name="Appendix" sheetId="4" state="visible" r:id="rId6"/>
    <sheet name="List - Hide" sheetId="5" state="hidden" r:id="rId7"/>
    <sheet name="Check - Hide" sheetId="6" state="hidden" r:id="rId8"/>
    <sheet name="Sheet2" sheetId="7" state="hidden"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<sst xmlns="http://schemas.openxmlformats.org/spreadsheetml/2006/main" count="350" uniqueCount="278">
  <si>
    <t xml:space="preserve">Apprenticeship Training Log </t>
  </si>
  <si>
    <t xml:space="preserve">During your programme you are expected to spend 20% of your time at work on activities relating to the learning outcomes of your programme. Some of this time is fixed (e.g. attending webinars) and some is flexible (gaining experience at work completing new tasks at work, attending coaching sessions, attending training sessions at work related to your role, reflections etc).
This document will help you keep a record of the time you’re spending on programme activities at work and is important for 2 reasons:
1.You will be asked to share this record at your End Point Assessment 
2.Evidence of your time may be requested by the Education and Skills Funding Agency for audit purposes.
Please complete the sections below to track completion of your professional qualification modules and skills and behaviour assignments. This will automatically update the required number of hours for you.
We’ve also included a Continuous Professional Development for you to record details of any additional training or learning undertaken at work. Please keep this up to date as it will support your End Point Assessment and discussions with your coach. </t>
  </si>
  <si>
    <t xml:space="preserve">Indika Arachchilage</t>
  </si>
  <si>
    <t xml:space="preserve">PQ Modules*</t>
  </si>
  <si>
    <t xml:space="preserve">Webinar and Exam/Assignment Completed</t>
  </si>
  <si>
    <t xml:space="preserve">Date Completed (must be after start date of Apprenticeship)</t>
  </si>
  <si>
    <t xml:space="preserve">Contact Hours</t>
  </si>
  <si>
    <t xml:space="preserve">Additional Time spent during contractual working hours (e-learning)</t>
  </si>
  <si>
    <t xml:space="preserve">TOTAL</t>
  </si>
  <si>
    <t xml:space="preserve">Induction Data Fundamentals</t>
  </si>
  <si>
    <t xml:space="preserve">Yes</t>
  </si>
  <si>
    <t xml:space="preserve">Data Fundamentals</t>
  </si>
  <si>
    <t xml:space="preserve">Databases and Data Lakes</t>
  </si>
  <si>
    <t xml:space="preserve">Programming and Scrippting Essentials</t>
  </si>
  <si>
    <t xml:space="preserve">Networks Essentials and Cyber Security</t>
  </si>
  <si>
    <t xml:space="preserve">Cloud Engineering</t>
  </si>
  <si>
    <t xml:space="preserve">Data Collection and Ingestion 1</t>
  </si>
  <si>
    <t xml:space="preserve">Data Collection and Ingestion 2</t>
  </si>
  <si>
    <t xml:space="preserve">Data Pipelines</t>
  </si>
  <si>
    <t xml:space="preserve">Data Responsibilities</t>
  </si>
  <si>
    <t xml:space="preserve">Production Environment</t>
  </si>
  <si>
    <t xml:space="preserve">Data Products</t>
  </si>
  <si>
    <t xml:space="preserve">Data Futures</t>
  </si>
  <si>
    <t xml:space="preserve">TOTAL HOURS FROM STUDIES</t>
  </si>
  <si>
    <t xml:space="preserve">Skills &amp; Behaviours</t>
  </si>
  <si>
    <t xml:space="preserve">Submitted</t>
  </si>
  <si>
    <t xml:space="preserve">Date Submitted</t>
  </si>
  <si>
    <t xml:space="preserve">Hours</t>
  </si>
  <si>
    <t xml:space="preserve">Additional Time spent during contractual working hours if applicable</t>
  </si>
  <si>
    <t xml:space="preserve">Portfolio Task 1 </t>
  </si>
  <si>
    <t xml:space="preserve">Portfolio Task 2</t>
  </si>
  <si>
    <t xml:space="preserve">Portfolio Task 3</t>
  </si>
  <si>
    <t xml:space="preserve">Portfolio Task 4</t>
  </si>
  <si>
    <t xml:space="preserve">Portfolio Task 5</t>
  </si>
  <si>
    <t xml:space="preserve">Continuing Professional Development Log - include below any additional training courses provided by your employer that fulfils the following criteria:</t>
  </si>
  <si>
    <t xml:space="preserve">1. The training completed has helped you to perform in your role more effectively</t>
  </si>
  <si>
    <t xml:space="preserve">2. The training aligns to the learning outcomes of your programme. (Note that courses made available to all new employees such as Health and Safety don’t count unless they specifically benefit your role)</t>
  </si>
  <si>
    <t xml:space="preserve">Please enter any additional Employer Provided Training (delivered internally or externally)
Do not include any activity which relates the Professional Qualification or S&amp;B assignments</t>
  </si>
  <si>
    <t xml:space="preserve">*Select which learning outcome the training related to</t>
  </si>
  <si>
    <t xml:space="preserve">Date Completed</t>
  </si>
  <si>
    <t xml:space="preserve">What did you learn from this?  How has the activity benefitted your understanding?</t>
  </si>
  <si>
    <t xml:space="preserve">*For each activity identified show how it maps to the Knowledge, Skills and Behaviours set out in the Standard in Column C. See Appendix for descriptions and learning outcome for the Skills and Behaviours</t>
  </si>
  <si>
    <t xml:space="preserve">NDG Linux Unhatched</t>
  </si>
  <si>
    <t xml:space="preserve">K20</t>
  </si>
  <si>
    <t xml:space="preserve">Getting Started with Programming in Python</t>
  </si>
  <si>
    <t xml:space="preserve">S9</t>
  </si>
  <si>
    <t xml:space="preserve">Copilot Deep Dive: Excel</t>
  </si>
  <si>
    <t xml:space="preserve">K29</t>
  </si>
  <si>
    <t xml:space="preserve">MySQL Database Development: Manipulating Data</t>
  </si>
  <si>
    <t xml:space="preserve">S6</t>
  </si>
  <si>
    <t xml:space="preserve">Created python code to access an API and pull data into a cloud-based database and then used a scheduled linux cron job to trigger data ingestion</t>
  </si>
  <si>
    <t xml:space="preserve">Data Cleaning with Pandas in Python (Workday)</t>
  </si>
  <si>
    <t xml:space="preserve">A Closer Look at Data Architecture (Workday)</t>
  </si>
  <si>
    <t xml:space="preserve">K26</t>
  </si>
  <si>
    <t xml:space="preserve">Snowflake Tutorial by Data Engineering Simplified Modules 1-5</t>
  </si>
  <si>
    <t xml:space="preserve">S14</t>
  </si>
  <si>
    <t xml:space="preserve">dbt fundamentals by DBTLearn</t>
  </si>
  <si>
    <t xml:space="preserve">Snowflake Tutorial by Data Engineering Simplified Modules 6-8</t>
  </si>
  <si>
    <t xml:space="preserve">GRAND TOTAL</t>
  </si>
  <si>
    <t xml:space="preserve">Total required</t>
  </si>
  <si>
    <t xml:space="preserve">Completed to date</t>
  </si>
  <si>
    <t xml:space="preserve">Outstanding </t>
  </si>
  <si>
    <t xml:space="preserve">FAQs</t>
  </si>
  <si>
    <t xml:space="preserve">Question</t>
  </si>
  <si>
    <t xml:space="preserve">Answer</t>
  </si>
  <si>
    <t xml:space="preserve">Is time spent sitting the exam included within the BPP hours for that exam or can it be added?</t>
  </si>
  <si>
    <t xml:space="preserve">Can time spent on Research on a specific job be included on the OTJT?</t>
  </si>
  <si>
    <t xml:space="preserve">Can study leave other than attending BPP courses be included?</t>
  </si>
  <si>
    <t xml:space="preserve">Can training on compliance be included?</t>
  </si>
  <si>
    <t xml:space="preserve">You can only include compliance training if it relevant to your role and it is not generic training.</t>
  </si>
  <si>
    <t xml:space="preserve">When and where do I submit this?</t>
  </si>
  <si>
    <t xml:space="preserve">You can submit this informally for us to review and provide feedback on before any of your review calls. You will formally submit it before your gateway call. Please send it to performancesupport@bbp.com at least 48 hours before your review call.</t>
  </si>
  <si>
    <t xml:space="preserve">Should my Line manager sign my log?</t>
  </si>
  <si>
    <t xml:space="preserve">No</t>
  </si>
  <si>
    <t xml:space="preserve">Should study days for BPP exams be included?</t>
  </si>
  <si>
    <t xml:space="preserve">Only if they are during contracted hours</t>
  </si>
  <si>
    <t xml:space="preserve">Should time on retakes be included?</t>
  </si>
  <si>
    <t xml:space="preserve">Should the webinars within the course subjects (on exam technique) be incldued?</t>
  </si>
  <si>
    <t xml:space="preserve">Can I add time that I spend on S&amp;B in addition to the 45 hours recorded?</t>
  </si>
  <si>
    <t xml:space="preserve">Yes, as long as it is in contractual hours</t>
  </si>
  <si>
    <t xml:space="preserve">What parts of the course (ALS, question bank) can be incldued?</t>
  </si>
  <si>
    <t xml:space="preserve">Knowledge</t>
  </si>
  <si>
    <t xml:space="preserve">Skills</t>
  </si>
  <si>
    <t xml:space="preserve">Behaviours</t>
  </si>
  <si>
    <t xml:space="preserve">K1: Processes to monitor and optimise the performance of the availability, management and performance of data product.</t>
  </si>
  <si>
    <t xml:space="preserve">S1: Collate, evaluate and refine user requirements to design the data product.</t>
  </si>
  <si>
    <t xml:space="preserve">B1: Acts proactively and takes accountability adapting positively to changing work priorities, ensuring deadlines are met.</t>
  </si>
  <si>
    <t xml:space="preserve">K2: Methodologies for moving data from one system to another for storage and further handling.</t>
  </si>
  <si>
    <t xml:space="preserve">S2: Collate, evaluate and refine business requirements including cost, resourcing, and accessibility to design the data product.</t>
  </si>
  <si>
    <t xml:space="preserve">B2: Works collaboratively with stakeholders and colleagues, developing strong working relationships to achieve common goals. Support an inclusive culture and treat technical and none technical colleagues and stakeholders with respect.</t>
  </si>
  <si>
    <t xml:space="preserve">K3: Data normalisation principles and the advantages they achieve in databases for data protection, redundancy, and inconsistent dependency.</t>
  </si>
  <si>
    <t xml:space="preserve">S3: Design a data product to serve multiple needs and with scalability, efficiency, and security in mind.</t>
  </si>
  <si>
    <t xml:space="preserve">B3: Quality focus that promotes continuous improvement utilising peer review techniques, innovation and creativity to the data system development process to improve processes and address business challenges.</t>
  </si>
  <si>
    <t xml:space="preserve">K4: Frameworks for data quality, covering dimensions such as accuracy, completeness, consistency, timeliness, and accessibility.</t>
  </si>
  <si>
    <t xml:space="preserve">S4: Automate data pipelines such as batch, real-time, on demand and other processes using either programming languages and data integration platforms with graphical user interfaces.</t>
  </si>
  <si>
    <t xml:space="preserve">B4: Takes personal responsibility towards net zero and prioritises environmental sustainability outcomes in how they carry out the duties of their role.</t>
  </si>
  <si>
    <t xml:space="preserve">K5: The inherent risks of data such as incomplete data, ethical data sources and how to ensure data quality.</t>
  </si>
  <si>
    <t xml:space="preserve">S5: Produce and maintain technical documentation explaining the data product, that meets organisational, technical and non-technical user requirements, retaining critical information.</t>
  </si>
  <si>
    <t xml:space="preserve">B5: Use initiative and innovation to problem solve and trouble shoot, providing creative solutions.</t>
  </si>
  <si>
    <t xml:space="preserve">K6: Software development principles for data products, including debugging, version control, and testing.</t>
  </si>
  <si>
    <t xml:space="preserve">S6: Systematically clean, validate, and describe data at all stages of extract, transform, load (ETL).</t>
  </si>
  <si>
    <t xml:space="preserve">B6: Keeps abreast of developments in emerging, contemporary and advanced technologies to optimise sustainable data products and services.</t>
  </si>
  <si>
    <t xml:space="preserve">K7: Principles of sustainable data products and organisational responsibilities for environmental social governance.</t>
  </si>
  <si>
    <t xml:space="preserve">S7: Work with different types of data stores, such as SQL, NoSQL, and distributed file system.</t>
  </si>
  <si>
    <t xml:space="preserve">K8: Deployment approaches for new data pipelines and automated processes.</t>
  </si>
  <si>
    <t xml:space="preserve">S8: Identify and troubleshoot issues with data processing pipelines.</t>
  </si>
  <si>
    <t xml:space="preserve">K9: How to build a data product that complies with regulatory requirements.</t>
  </si>
  <si>
    <t xml:space="preserve">S9: Query and manipulate data using tools and programming such as SQL and Python. Manage database access, and implement automated validation checks.</t>
  </si>
  <si>
    <t xml:space="preserve">K10: Concepts of data governance, including regulatory requirements, data privacy, security, and quality control. Legislation and its application to the safe use of data.</t>
  </si>
  <si>
    <t xml:space="preserve">S10: Communicate downtime and issues with database access to stakeholders to mitigate the operational impact of unforeseen issues.</t>
  </si>
  <si>
    <t xml:space="preserve">K11: Data and information security standards, ethical practices, policies and procedures relevant to data management activities such as data lineage and metadata management.</t>
  </si>
  <si>
    <t xml:space="preserve">S11: Evaluate opportunities to extract value from existing data products through further development, considering costs, environmental impact and potential operational benefits.</t>
  </si>
  <si>
    <t xml:space="preserve">K12: How to cost and build a system whilst ensuring that organisational strategies for sustainable, net zero technologies are considered.</t>
  </si>
  <si>
    <t xml:space="preserve">S12: Maintain a working knowledge of data use cases within organisations.</t>
  </si>
  <si>
    <t xml:space="preserve">K13: The implications of financial, strategic and compliance regarding to security, scalability, compliance and cost of local, remote or distributed solutions.</t>
  </si>
  <si>
    <t xml:space="preserve">S13: Use data systems securely to meet requirements and in line with organisational procedures and legislation.</t>
  </si>
  <si>
    <t xml:space="preserve">K14: The uses of on-demand Cloud computing platform(s) in a public or private environment such as Amazon AWS, Google Cloud, Hadoop, IBM Cloud, Salesforce and Microsoft Azure.</t>
  </si>
  <si>
    <t xml:space="preserve">S14: Identify new tools and technologies and recommend potential opportunities for use in own department or organisation.</t>
  </si>
  <si>
    <t xml:space="preserve">K15: Data warehousing principles, including techniques such as star schemas, data lakes, and data marts.</t>
  </si>
  <si>
    <t xml:space="preserve">S15: Optimise data ingestion processes by making use of appropriate data ingestion frameworks such as batch, streaming and on-demand.</t>
  </si>
  <si>
    <t xml:space="preserve">K16: Principles of data, including open and public data, administrative data, and research data including the value of external data sources that can be used to enrich internal data. Examples of how business use direct data acquisition to support or augment business operations.</t>
  </si>
  <si>
    <t xml:space="preserve">S16: Develop algorithms and processes to extract structured data from unstructured sources.</t>
  </si>
  <si>
    <t xml:space="preserve">K17: Approaches to data integration and how combining disparate data sources delivers value to an organisation.</t>
  </si>
  <si>
    <t xml:space="preserve">S17: Apply and advocate for software development best practice when working with other data professionals throughout the business. Contribute to standards and ways of working that support software development principles.</t>
  </si>
  <si>
    <t xml:space="preserve">K18: How to use streaming, batching and on-demand services to move data from one location to another.</t>
  </si>
  <si>
    <t xml:space="preserve">S18: Develop simple forecasts and monitoring tools to anticipate or respond immediately to outages and incidents.</t>
  </si>
  <si>
    <t xml:space="preserve">K19: Differences between structured, semi-structured, and unstructured data.</t>
  </si>
  <si>
    <t xml:space="preserve">S19: Identify and escalate risks with suggested mitigation/resolutions as appropriate.</t>
  </si>
  <si>
    <t xml:space="preserve">K20: Types and uses of data engineering tools and applications in own organisation.</t>
  </si>
  <si>
    <t xml:space="preserve">S20: Investigate and respond to incidents, identifying the root cause and resolution with internal and external stakeholders.</t>
  </si>
  <si>
    <t xml:space="preserve">K21: Policies and strategies to ensure business continuity for operations, particularly in relation to data provision.</t>
  </si>
  <si>
    <t xml:space="preserve">S21: Identify and remediate technical debt, assess for updates and obsolescence as part of continuous improvement.</t>
  </si>
  <si>
    <t xml:space="preserve">K22: Technology and service management best practice including configuration, change and incident management.</t>
  </si>
  <si>
    <t xml:space="preserve">S22: Develop, maintain collaborative relationships using adaptive business methodology with stakeholders such as, business users, data scientists, data analysts and business intelligence teams.</t>
  </si>
  <si>
    <t xml:space="preserve">K23: How to undertake analysis and root cause investigation.</t>
  </si>
  <si>
    <t xml:space="preserve">S23: Present, communicate, and disseminate messages about the data product, tailoring the message and medium to the needs of the audience.</t>
  </si>
  <si>
    <t xml:space="preserve">K24: Processes for evaluating prototypes and taking them to implementation within a production environment.</t>
  </si>
  <si>
    <t xml:space="preserve">S24: Evaluate the strengths and weaknesses of prototype data products and how these integrate within an organisation’s overarching data infrastructure.</t>
  </si>
  <si>
    <t xml:space="preserve">K25: The lifecycle of implementing data solutions in a business, from scoping, though prototyping, development, production, and continuous improvement.</t>
  </si>
  <si>
    <t xml:space="preserve">S25: Assess and identify gaps in existing tools and technologies in respect of implementing changes required.</t>
  </si>
  <si>
    <t xml:space="preserve">K26: Data development frameworks and approved organisational architectures.</t>
  </si>
  <si>
    <t xml:space="preserve">S26: Identify data quality metrics and track them to ensure the quality, accuracy and reliability of the data product.</t>
  </si>
  <si>
    <t xml:space="preserve">K27: The principles of descriptive, predictive and prescriptive analytics.</t>
  </si>
  <si>
    <t xml:space="preserve">S27: Selects and apply sustainable solutions to contribute to net zero and environmental strategies across the various stages of product and service delivery.</t>
  </si>
  <si>
    <t xml:space="preserve">K28: Continuous improvement including how to: capture good practice and lessons learned.</t>
  </si>
  <si>
    <t xml:space="preserve">S28: Horizon scanning to identify new technologies that offer increased performance of data products.</t>
  </si>
  <si>
    <t xml:space="preserve">K29: Strategies for keeping up to date with new ways of working and technological developments in data science, data engineering and AI.</t>
  </si>
  <si>
    <t xml:space="preserve">S29: Implement personal strategies to keep up to date with new technology and ways of working.</t>
  </si>
  <si>
    <t xml:space="preserve">K30: The methods and techniques used to communicate messages to meet the needs of the audience.</t>
  </si>
  <si>
    <t xml:space="preserve">Assessments</t>
  </si>
  <si>
    <t xml:space="preserve">Induction </t>
  </si>
  <si>
    <t xml:space="preserve">Coaching calls</t>
  </si>
  <si>
    <t xml:space="preserve">Portfolio Submissions</t>
  </si>
  <si>
    <t xml:space="preserve">EPA</t>
  </si>
  <si>
    <t xml:space="preserve">Live</t>
  </si>
  <si>
    <t xml:space="preserve">Portfolio</t>
  </si>
  <si>
    <t xml:space="preserve">Directed Learning </t>
  </si>
  <si>
    <t xml:space="preserve">Coaching </t>
  </si>
  <si>
    <t xml:space="preserve">Total </t>
  </si>
  <si>
    <t xml:space="preserve">Standard Delivery</t>
  </si>
  <si>
    <t xml:space="preserve">Week 1</t>
  </si>
  <si>
    <t xml:space="preserve">Week 2</t>
  </si>
  <si>
    <t xml:space="preserve">Week 3</t>
  </si>
  <si>
    <t xml:space="preserve">Week 4</t>
  </si>
  <si>
    <t xml:space="preserve">Week 5</t>
  </si>
  <si>
    <t xml:space="preserve">Week 6</t>
  </si>
  <si>
    <t xml:space="preserve">Week 7</t>
  </si>
  <si>
    <t xml:space="preserve">Week 8</t>
  </si>
  <si>
    <t xml:space="preserve">Induction</t>
  </si>
  <si>
    <t xml:space="preserve">Week 9</t>
  </si>
  <si>
    <t xml:space="preserve">% programme</t>
  </si>
  <si>
    <t xml:space="preserve">OLL &amp; coach</t>
  </si>
  <si>
    <t xml:space="preserve">Week 10</t>
  </si>
  <si>
    <t xml:space="preserve">Hours of programme</t>
  </si>
  <si>
    <t xml:space="preserve">Week 11</t>
  </si>
  <si>
    <t xml:space="preserve">Hrs</t>
  </si>
  <si>
    <t xml:space="preserve">%</t>
  </si>
  <si>
    <t xml:space="preserve">Cum %</t>
  </si>
  <si>
    <t xml:space="preserve">Coach Hrs</t>
  </si>
  <si>
    <t xml:space="preserve">Week 12</t>
  </si>
  <si>
    <t xml:space="preserve"> </t>
  </si>
  <si>
    <t xml:space="preserve">Week 13</t>
  </si>
  <si>
    <t xml:space="preserve">Week 14</t>
  </si>
  <si>
    <t xml:space="preserve">Week 15</t>
  </si>
  <si>
    <t xml:space="preserve">Week 16</t>
  </si>
  <si>
    <t xml:space="preserve">Week 17</t>
  </si>
  <si>
    <t xml:space="preserve">Week 18</t>
  </si>
  <si>
    <t xml:space="preserve">Week 19</t>
  </si>
  <si>
    <t xml:space="preserve">Week 20</t>
  </si>
  <si>
    <t xml:space="preserve">Week 21</t>
  </si>
  <si>
    <t xml:space="preserve">Week 22</t>
  </si>
  <si>
    <t xml:space="preserve">Week 23</t>
  </si>
  <si>
    <t xml:space="preserve">Week 24</t>
  </si>
  <si>
    <t xml:space="preserve">Week 25</t>
  </si>
  <si>
    <t xml:space="preserve">Week 26</t>
  </si>
  <si>
    <t xml:space="preserve">Milestones 1</t>
  </si>
  <si>
    <t xml:space="preserve">Week 27</t>
  </si>
  <si>
    <t xml:space="preserve">Milestones 2</t>
  </si>
  <si>
    <t xml:space="preserve">Week 28</t>
  </si>
  <si>
    <t xml:space="preserve">Group Project</t>
  </si>
  <si>
    <t xml:space="preserve">Milestones 3</t>
  </si>
  <si>
    <t xml:space="preserve">Week 29</t>
  </si>
  <si>
    <t xml:space="preserve">Milestones 4</t>
  </si>
  <si>
    <t xml:space="preserve">Week 30</t>
  </si>
  <si>
    <t xml:space="preserve">Milestones 5</t>
  </si>
  <si>
    <t xml:space="preserve">Week 31</t>
  </si>
  <si>
    <t xml:space="preserve">Week 32</t>
  </si>
  <si>
    <t xml:space="preserve">Week 33</t>
  </si>
  <si>
    <t xml:space="preserve">Week 34</t>
  </si>
  <si>
    <t xml:space="preserve">Week 35</t>
  </si>
  <si>
    <t xml:space="preserve">Week 36</t>
  </si>
  <si>
    <t xml:space="preserve">Week 37</t>
  </si>
  <si>
    <t xml:space="preserve">Week 38</t>
  </si>
  <si>
    <t xml:space="preserve">Week 39</t>
  </si>
  <si>
    <t xml:space="preserve">Week 40</t>
  </si>
  <si>
    <t xml:space="preserve">Week 41</t>
  </si>
  <si>
    <t xml:space="preserve">Week 42</t>
  </si>
  <si>
    <t xml:space="preserve">Week 43</t>
  </si>
  <si>
    <t xml:space="preserve">Week 44</t>
  </si>
  <si>
    <t xml:space="preserve">Week 45</t>
  </si>
  <si>
    <t xml:space="preserve">Week 46</t>
  </si>
  <si>
    <t xml:space="preserve">Week 47</t>
  </si>
  <si>
    <t xml:space="preserve">Week 48</t>
  </si>
  <si>
    <t xml:space="preserve">Week 49</t>
  </si>
  <si>
    <t xml:space="preserve">Week 50</t>
  </si>
  <si>
    <t xml:space="preserve">Week 51</t>
  </si>
  <si>
    <t xml:space="preserve">Week 52</t>
  </si>
  <si>
    <t xml:space="preserve">Week 53</t>
  </si>
  <si>
    <t xml:space="preserve">Week 54</t>
  </si>
  <si>
    <t xml:space="preserve">Week 55</t>
  </si>
  <si>
    <t xml:space="preserve">Week 56</t>
  </si>
  <si>
    <t xml:space="preserve">Week 57</t>
  </si>
  <si>
    <t xml:space="preserve">Week 58</t>
  </si>
  <si>
    <t xml:space="preserve">Week 59</t>
  </si>
  <si>
    <t xml:space="preserve">Week 60</t>
  </si>
  <si>
    <t xml:space="preserve">Week 61</t>
  </si>
  <si>
    <t xml:space="preserve">Week 62</t>
  </si>
  <si>
    <t xml:space="preserve">Week 63</t>
  </si>
  <si>
    <t xml:space="preserve">Week 64</t>
  </si>
  <si>
    <t xml:space="preserve">Week 65</t>
  </si>
  <si>
    <t xml:space="preserve">Week 66</t>
  </si>
  <si>
    <t xml:space="preserve">Week 67</t>
  </si>
  <si>
    <t xml:space="preserve">Week 68</t>
  </si>
  <si>
    <t xml:space="preserve">Week 69</t>
  </si>
  <si>
    <t xml:space="preserve">Week 70</t>
  </si>
  <si>
    <t xml:space="preserve">Week 71</t>
  </si>
  <si>
    <t xml:space="preserve">Week 72</t>
  </si>
  <si>
    <t xml:space="preserve">Week 73</t>
  </si>
  <si>
    <t xml:space="preserve">Week 74</t>
  </si>
  <si>
    <t xml:space="preserve">Week 75</t>
  </si>
  <si>
    <t xml:space="preserve">Week 76</t>
  </si>
  <si>
    <t xml:space="preserve">Programme Weeks</t>
  </si>
  <si>
    <t xml:space="preserve">OTJ Target</t>
  </si>
  <si>
    <t xml:space="preserve">Working days </t>
  </si>
  <si>
    <t xml:space="preserve">Days leave</t>
  </si>
  <si>
    <t xml:space="preserve">Working Days </t>
  </si>
  <si>
    <t xml:space="preserve">OTJ days</t>
  </si>
  <si>
    <t xml:space="preserve">OTJ Hours</t>
  </si>
  <si>
    <t xml:space="preserve">TRAINING REQUIREMENT CHECK</t>
  </si>
  <si>
    <t xml:space="preserve">Start date of apprenticeship</t>
  </si>
  <si>
    <t xml:space="preserve">enter value here</t>
  </si>
  <si>
    <t xml:space="preserve">date of GW call</t>
  </si>
  <si>
    <t xml:space="preserve">No. days in programme</t>
  </si>
  <si>
    <t xml:space="preserve">Don't amend</t>
  </si>
  <si>
    <t xml:space="preserve">No years in programme</t>
  </si>
  <si>
    <t xml:space="preserve">Contracted hours</t>
  </si>
  <si>
    <t xml:space="preserve">Total required hours</t>
  </si>
  <si>
    <t xml:space="preserve">HOW DOES THE ANNUAL LEAVE ALLOWANCE WORK?  DOES THIS NEED TO BE </t>
  </si>
  <si>
    <t xml:space="preserve">TAKEN INTO ACCOUNT HERE?</t>
  </si>
  <si>
    <t xml:space="preserve">Actual Hours from OTJT Log</t>
  </si>
  <si>
    <t xml:space="preserve">Excess / (Shortfall)</t>
  </si>
  <si>
    <t xml:space="preserve">We can password protect this sheet later</t>
  </si>
  <si>
    <t xml:space="preserve">OFF THE JOB TRAINING LOG</t>
  </si>
  <si>
    <t xml:space="preserve">In order to include internal training as part of the 20% Off-The-Job-Training requirement, it needs to fulfil the following criteria:</t>
  </si>
  <si>
    <r>
      <rPr>
        <b val="true"/>
        <sz val="10"/>
        <color theme="1" tint="0.2499"/>
        <rFont val="Calibri"/>
        <family val="2"/>
        <charset val="1"/>
      </rPr>
      <t xml:space="preserve">Be relevant to the role that the apprentice is undertaking</t>
    </r>
    <r>
      <rPr>
        <sz val="10"/>
        <color theme="1" tint="0.2499"/>
        <rFont val="Calibri"/>
        <family val="2"/>
        <charset val="1"/>
      </rPr>
      <t xml:space="preserve"> ie is the learner developing their ability to perform their role through attending this course?</t>
    </r>
  </si>
  <si>
    <r>
      <rPr>
        <b val="true"/>
        <sz val="10"/>
        <color theme="1" tint="0.2499"/>
        <rFont val="Calibri"/>
        <family val="2"/>
        <charset val="1"/>
      </rPr>
      <t xml:space="preserve">Be specific to the apprenticeship</t>
    </r>
    <r>
      <rPr>
        <sz val="10"/>
        <color theme="1" tint="0.2499"/>
        <rFont val="Calibri"/>
        <family val="2"/>
        <charset val="1"/>
      </rPr>
      <t xml:space="preserve">.  Do not include courses that are made available to all new employees – the following our examples of course that are unlikely to count towards the 20% requirement: Health and Safety Awareness. Such courses as IT Security, Data Protection, Money Laundering &amp; Fraud would also not count unless these are undertaken as extended training that would benefit the role. </t>
    </r>
  </si>
  <si>
    <r>
      <rPr>
        <b val="true"/>
        <sz val="10"/>
        <color theme="1" tint="0.2499"/>
        <rFont val="Calibri"/>
        <family val="2"/>
        <charset val="1"/>
      </rPr>
      <t xml:space="preserve">Cover one or more of the Knowledge, Skills and Behaviours</t>
    </r>
    <r>
      <rPr>
        <sz val="10"/>
        <color theme="1" tint="0.2499"/>
        <rFont val="Calibri"/>
        <family val="2"/>
        <charset val="1"/>
      </rPr>
      <t xml:space="preserve"> as set out in the Apprenticeship Standard – detailed learning outcomes are provided in the appendix.</t>
    </r>
  </si>
  <si>
    <t xml:space="preserve">In order to include internal training as part of the 20% Off-The-Job-Training requirement, it needs to fulfil the following criteria:Be relevant to the role that the apprentice is undertaking ie is the learner developing their ability to perform their role through attending this course?</t>
  </si>
</sst>
</file>

<file path=xl/styles.xml><?xml version="1.0" encoding="utf-8"?>
<styleSheet xmlns="http://schemas.openxmlformats.org/spreadsheetml/2006/main">
  <numFmts count="5">
    <numFmt numFmtId="164" formatCode="General"/>
    <numFmt numFmtId="165" formatCode="dd/mm/yyyy"/>
    <numFmt numFmtId="166" formatCode="0.00"/>
    <numFmt numFmtId="167" formatCode="0%"/>
    <numFmt numFmtId="168" formatCode="0.0"/>
  </numFmts>
  <fonts count="29">
    <font>
      <sz val="11"/>
      <color theme="1"/>
      <name val="Calibri"/>
      <family val="2"/>
      <charset val="1"/>
    </font>
    <font>
      <sz val="10"/>
      <name val="Arial"/>
      <family val="0"/>
    </font>
    <font>
      <sz val="10"/>
      <name val="Arial"/>
      <family val="0"/>
    </font>
    <font>
      <sz val="10"/>
      <name val="Arial"/>
      <family val="0"/>
    </font>
    <font>
      <sz val="10"/>
      <color theme="1"/>
      <name val="Arial"/>
      <family val="2"/>
      <charset val="1"/>
    </font>
    <font>
      <sz val="20"/>
      <color theme="1"/>
      <name val="Calibri"/>
      <family val="2"/>
      <charset val="1"/>
    </font>
    <font>
      <sz val="12"/>
      <color theme="1"/>
      <name val="Calibri"/>
      <family val="2"/>
      <charset val="1"/>
    </font>
    <font>
      <u val="single"/>
      <sz val="12"/>
      <color theme="1"/>
      <name val="Calibri"/>
      <family val="2"/>
      <charset val="1"/>
    </font>
    <font>
      <b val="true"/>
      <sz val="11"/>
      <color theme="1"/>
      <name val="Calibri"/>
      <family val="2"/>
      <charset val="1"/>
    </font>
    <font>
      <sz val="11"/>
      <name val="Calibri"/>
      <family val="2"/>
      <charset val="1"/>
    </font>
    <font>
      <sz val="11"/>
      <color rgb="FF000000"/>
      <name val="Calibri"/>
      <family val="2"/>
      <charset val="1"/>
    </font>
    <font>
      <sz val="8"/>
      <color rgb="FF3C3C3B"/>
      <name val="Calibri"/>
      <family val="2"/>
      <charset val="1"/>
    </font>
    <font>
      <b val="true"/>
      <sz val="10"/>
      <color theme="1"/>
      <name val="Calibri"/>
      <family val="2"/>
      <charset val="1"/>
    </font>
    <font>
      <u val="single"/>
      <sz val="11"/>
      <color theme="1"/>
      <name val="Calibri"/>
      <family val="2"/>
      <charset val="1"/>
    </font>
    <font>
      <i val="true"/>
      <sz val="11"/>
      <color rgb="FF000000"/>
      <name val="Calibri"/>
      <family val="2"/>
      <charset val="1"/>
    </font>
    <font>
      <i val="true"/>
      <sz val="11"/>
      <color theme="1"/>
      <name val="Calibri"/>
      <family val="2"/>
      <charset val="1"/>
    </font>
    <font>
      <b val="true"/>
      <i val="true"/>
      <sz val="11"/>
      <color theme="1"/>
      <name val="Calibri"/>
      <family val="2"/>
      <charset val="1"/>
    </font>
    <font>
      <b val="true"/>
      <sz val="14"/>
      <color theme="1"/>
      <name val="Calibri"/>
      <family val="2"/>
      <charset val="1"/>
    </font>
    <font>
      <b val="true"/>
      <sz val="11"/>
      <color rgb="FF000000"/>
      <name val="Calibri"/>
      <family val="2"/>
      <charset val="1"/>
    </font>
    <font>
      <sz val="10"/>
      <color rgb="FF334047"/>
      <name val="Arial"/>
      <family val="2"/>
      <charset val="1"/>
    </font>
    <font>
      <sz val="11"/>
      <color rgb="FFFF0000"/>
      <name val="Calibri"/>
      <family val="2"/>
      <charset val="1"/>
    </font>
    <font>
      <b val="true"/>
      <sz val="11"/>
      <color rgb="FFFF0000"/>
      <name val="Calibri"/>
      <family val="2"/>
      <charset val="1"/>
    </font>
    <font>
      <b val="true"/>
      <sz val="14"/>
      <color theme="0" tint="-0.5"/>
      <name val="Arial"/>
      <family val="2"/>
      <charset val="1"/>
    </font>
    <font>
      <sz val="14"/>
      <color theme="0" tint="-0.5"/>
      <name val="Arial"/>
      <family val="2"/>
      <charset val="1"/>
    </font>
    <font>
      <sz val="10"/>
      <color theme="0" tint="-0.5"/>
      <name val="Arial"/>
      <family val="2"/>
      <charset val="1"/>
    </font>
    <font>
      <u val="single"/>
      <sz val="10"/>
      <color theme="1" tint="0.2499"/>
      <name val="Calibri"/>
      <family val="2"/>
      <charset val="1"/>
    </font>
    <font>
      <sz val="11"/>
      <color theme="1" tint="0.2499"/>
      <name val="Calibri"/>
      <family val="2"/>
      <charset val="1"/>
    </font>
    <font>
      <b val="true"/>
      <sz val="10"/>
      <color theme="1" tint="0.2499"/>
      <name val="Calibri"/>
      <family val="2"/>
      <charset val="1"/>
    </font>
    <font>
      <sz val="10"/>
      <color theme="1" tint="0.2499"/>
      <name val="Calibri"/>
      <family val="2"/>
      <charset val="1"/>
    </font>
  </fonts>
  <fills count="6">
    <fill>
      <patternFill patternType="none"/>
    </fill>
    <fill>
      <patternFill patternType="gray125"/>
    </fill>
    <fill>
      <patternFill patternType="solid">
        <fgColor theme="0"/>
        <bgColor rgb="FFFFFFCC"/>
      </patternFill>
    </fill>
    <fill>
      <patternFill patternType="solid">
        <fgColor rgb="FF00B050"/>
        <bgColor rgb="FF008080"/>
      </patternFill>
    </fill>
    <fill>
      <patternFill patternType="solid">
        <fgColor rgb="FFFFFF00"/>
        <bgColor rgb="FFFFFF00"/>
      </patternFill>
    </fill>
    <fill>
      <patternFill patternType="solid">
        <fgColor theme="0" tint="-0.15"/>
        <bgColor rgb="FFBFBFBF"/>
      </patternFill>
    </fill>
  </fills>
  <borders count="47">
    <border diagonalUp="false" diagonalDown="false">
      <left/>
      <right/>
      <top/>
      <bottom/>
      <diagonal/>
    </border>
    <border diagonalUp="false" diagonalDown="false">
      <left/>
      <right style="thin">
        <color theme="0"/>
      </right>
      <top/>
      <bottom style="thin">
        <color theme="0"/>
      </bottom>
      <diagonal/>
    </border>
    <border diagonalUp="false" diagonalDown="false">
      <left/>
      <right style="thin">
        <color theme="0"/>
      </right>
      <top/>
      <bottom/>
      <diagonal/>
    </border>
    <border diagonalUp="false" diagonalDown="false">
      <left style="thin">
        <color theme="0"/>
      </left>
      <right style="thin">
        <color theme="0"/>
      </right>
      <top style="thin">
        <color theme="0"/>
      </top>
      <bottom style="thin">
        <color theme="0"/>
      </bottom>
      <diagonal/>
    </border>
    <border diagonalUp="false" diagonalDown="false">
      <left/>
      <right/>
      <top/>
      <bottom style="thin">
        <color theme="0"/>
      </bottom>
      <diagonal/>
    </border>
    <border diagonalUp="false" diagonalDown="false">
      <left style="thin">
        <color theme="0"/>
      </left>
      <right/>
      <top style="thin">
        <color theme="0"/>
      </top>
      <bottom style="thin">
        <color theme="0"/>
      </bottom>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bottom/>
      <diagonal/>
    </border>
    <border diagonalUp="false" diagonalDown="false">
      <left style="thin"/>
      <right/>
      <top style="thin"/>
      <bottom style="thin"/>
      <diagonal/>
    </border>
    <border diagonalUp="false" diagonalDown="false">
      <left/>
      <right style="thin">
        <color theme="0"/>
      </right>
      <top style="thin">
        <color theme="0"/>
      </top>
      <bottom style="thin">
        <color theme="0"/>
      </bottom>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color theme="0"/>
      </left>
      <right style="thin">
        <color theme="0"/>
      </right>
      <top style="thin"/>
      <bottom/>
      <diagonal/>
    </border>
    <border diagonalUp="false" diagonalDown="false">
      <left style="thin">
        <color theme="0"/>
      </left>
      <right style="thin">
        <color theme="0"/>
      </right>
      <top/>
      <bottom/>
      <diagonal/>
    </border>
    <border diagonalUp="false" diagonalDown="false">
      <left style="thin">
        <color theme="0"/>
      </left>
      <right/>
      <top/>
      <bottom/>
      <diagonal/>
    </border>
    <border diagonalUp="false" diagonalDown="false">
      <left style="thin">
        <color theme="0"/>
      </left>
      <right style="thin">
        <color theme="0"/>
      </right>
      <top style="thin">
        <color theme="0"/>
      </top>
      <bottom/>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style="thin">
        <color theme="0"/>
      </right>
      <top style="thin"/>
      <bottom style="thin"/>
      <diagonal/>
    </border>
    <border diagonalUp="false" diagonalDown="false">
      <left/>
      <right style="thin"/>
      <top/>
      <bottom/>
      <diagonal/>
    </border>
    <border diagonalUp="false" diagonalDown="false">
      <left style="thin"/>
      <right style="thin"/>
      <top style="thin"/>
      <bottom style="medium"/>
      <diagonal/>
    </border>
    <border diagonalUp="false" diagonalDown="false">
      <left style="thin"/>
      <right style="thin">
        <color theme="0"/>
      </right>
      <top style="thin"/>
      <bottom style="medium"/>
      <diagonal/>
    </border>
    <border diagonalUp="false" diagonalDown="false">
      <left style="thin">
        <color theme="0"/>
      </left>
      <right style="thin">
        <color theme="0"/>
      </right>
      <top style="thin"/>
      <bottom style="medium"/>
      <diagonal/>
    </border>
    <border diagonalUp="false" diagonalDown="false">
      <left style="medium"/>
      <right style="thin"/>
      <top style="medium"/>
      <bottom/>
      <diagonal/>
    </border>
    <border diagonalUp="false" diagonalDown="false">
      <left style="thin"/>
      <right style="thin"/>
      <top style="medium"/>
      <bottom/>
      <diagonal/>
    </border>
    <border diagonalUp="false" diagonalDown="false">
      <left style="thin"/>
      <right style="medium"/>
      <top style="medium"/>
      <bottom/>
      <diagonal/>
    </border>
    <border diagonalUp="false" diagonalDown="false">
      <left style="medium"/>
      <right/>
      <top style="medium"/>
      <bottom style="medium"/>
      <diagonal/>
    </border>
    <border diagonalUp="false" diagonalDown="false">
      <left/>
      <right/>
      <top style="thin"/>
      <botto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style="medium"/>
      <right/>
      <top/>
      <bottom/>
      <diagonal/>
    </border>
    <border diagonalUp="false" diagonalDown="false">
      <left/>
      <right style="medium"/>
      <top/>
      <bottom/>
      <diagonal/>
    </border>
    <border diagonalUp="false" diagonalDown="false">
      <left style="thin"/>
      <right style="thin"/>
      <top style="thin"/>
      <bottom/>
      <diagonal/>
    </border>
    <border diagonalUp="false" diagonalDown="false">
      <left/>
      <right/>
      <top/>
      <bottom style="medium"/>
      <diagonal/>
    </border>
    <border diagonalUp="false" diagonalDown="false">
      <left style="medium"/>
      <right/>
      <top/>
      <bottom style="medium"/>
      <diagonal/>
    </border>
    <border diagonalUp="false" diagonalDown="false">
      <left/>
      <right style="medium"/>
      <top/>
      <bottom style="medium"/>
      <diagonal/>
    </border>
    <border diagonalUp="false" diagonalDown="false">
      <left/>
      <right/>
      <top style="medium"/>
      <bottom style="medium"/>
      <diagonal/>
    </border>
    <border diagonalUp="false" diagonalDown="false">
      <left style="medium"/>
      <right style="medium"/>
      <top style="medium"/>
      <bottom/>
      <diagonal/>
    </border>
    <border diagonalUp="false" diagonalDown="false">
      <left style="medium"/>
      <right style="medium"/>
      <top style="medium"/>
      <bottom style="medium"/>
      <diagonal/>
    </border>
    <border diagonalUp="false" diagonalDown="false">
      <left style="medium"/>
      <right style="medium"/>
      <top/>
      <bottom/>
      <diagonal/>
    </border>
    <border diagonalUp="false" diagonalDown="false">
      <left style="medium"/>
      <right style="medium"/>
      <top/>
      <bottom style="medium"/>
      <diagonal/>
    </border>
    <border diagonalUp="false" diagonalDown="false">
      <left style="thin">
        <color theme="0"/>
      </left>
      <right/>
      <top style="thin">
        <color theme="0"/>
      </top>
      <bottom/>
      <diagonal/>
    </border>
    <border diagonalUp="false" diagonalDown="false">
      <left style="thin">
        <color theme="0" tint="-0.25"/>
      </left>
      <right/>
      <top style="thin">
        <color theme="0" tint="-0.25"/>
      </top>
      <bottom/>
      <diagonal/>
    </border>
    <border diagonalUp="false" diagonalDown="false">
      <left/>
      <right/>
      <top style="thin">
        <color theme="0" tint="-0.25"/>
      </top>
      <bottom/>
      <diagonal/>
    </border>
    <border diagonalUp="false" diagonalDown="false">
      <left/>
      <right/>
      <top style="thin">
        <color theme="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cellStyleXfs>
  <cellXfs count="16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left" vertical="center"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2" borderId="3" xfId="0" applyFont="false" applyBorder="true" applyAlignment="true" applyProtection="true">
      <alignment horizontal="center" vertical="bottom" textRotation="0" wrapText="true" indent="0" shrinkToFit="false"/>
      <protection locked="true" hidden="false"/>
    </xf>
    <xf numFmtId="164" fontId="0" fillId="2" borderId="1" xfId="0" applyFont="fals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bottom" textRotation="0" wrapText="true" indent="0" shrinkToFit="false"/>
      <protection locked="true" hidden="false"/>
    </xf>
    <xf numFmtId="164" fontId="0" fillId="2" borderId="4" xfId="0" applyFont="false" applyBorder="true" applyAlignment="true" applyProtection="true">
      <alignment horizontal="center" vertical="bottom" textRotation="0" wrapText="true" indent="0" shrinkToFit="false"/>
      <protection locked="true" hidden="false"/>
    </xf>
    <xf numFmtId="164" fontId="0" fillId="2" borderId="5" xfId="0" applyFont="false" applyBorder="true" applyAlignment="true" applyProtection="true">
      <alignment horizontal="center" vertical="bottom" textRotation="0" wrapText="true" indent="0" shrinkToFit="false"/>
      <protection locked="true" hidden="false"/>
    </xf>
    <xf numFmtId="164" fontId="0" fillId="2" borderId="1" xfId="0" applyFont="false" applyBorder="true" applyAlignment="true" applyProtection="true">
      <alignment horizontal="center" vertical="bottom" textRotation="0" wrapText="true" indent="0" shrinkToFit="false"/>
      <protection locked="true" hidden="false"/>
    </xf>
    <xf numFmtId="164" fontId="7" fillId="0" borderId="6" xfId="0" applyFont="true" applyBorder="true" applyAlignment="true" applyProtection="true">
      <alignment horizontal="general" vertical="center" textRotation="0" wrapText="false" indent="0" shrinkToFit="false"/>
      <protection locked="true" hidden="false"/>
    </xf>
    <xf numFmtId="164" fontId="0" fillId="0" borderId="6" xfId="0" applyFont="false" applyBorder="true" applyAlignment="true" applyProtection="true">
      <alignment horizontal="general" vertical="bottom" textRotation="0" wrapText="fals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4" fontId="8" fillId="0" borderId="7" xfId="0" applyFont="true" applyBorder="true" applyAlignment="true" applyProtection="true">
      <alignment horizontal="center" vertical="center" textRotation="0" wrapText="true" indent="0" shrinkToFit="false"/>
      <protection locked="true" hidden="false"/>
    </xf>
    <xf numFmtId="164" fontId="9" fillId="0" borderId="0" xfId="0" applyFont="true" applyBorder="true" applyAlignment="true" applyProtection="true">
      <alignment horizontal="center" vertical="center" textRotation="0" wrapText="true" indent="0" shrinkToFit="false"/>
      <protection locked="true" hidden="false"/>
    </xf>
    <xf numFmtId="164" fontId="0" fillId="0" borderId="3" xfId="0" applyFont="false" applyBorder="true" applyAlignment="true" applyProtection="true">
      <alignment horizontal="center" vertical="bottom" textRotation="0" wrapText="true" indent="0" shrinkToFit="false"/>
      <protection locked="true" hidden="false"/>
    </xf>
    <xf numFmtId="164" fontId="0" fillId="0" borderId="8" xfId="0" applyFont="true" applyBorder="true" applyAlignment="true" applyProtection="true">
      <alignment horizontal="left" vertical="center" textRotation="0" wrapText="true" indent="0" shrinkToFit="false"/>
      <protection locked="true" hidden="false"/>
    </xf>
    <xf numFmtId="164" fontId="0" fillId="0" borderId="7" xfId="0" applyFont="true" applyBorder="true" applyAlignment="true" applyProtection="true">
      <alignment horizontal="center" vertical="bottom" textRotation="0" wrapText="false" indent="0" shrinkToFit="false"/>
      <protection locked="true" hidden="false"/>
    </xf>
    <xf numFmtId="165" fontId="0" fillId="0" borderId="7" xfId="0" applyFont="true" applyBorder="true" applyAlignment="true" applyProtection="true">
      <alignment horizontal="center" vertical="center" textRotation="0" wrapText="true" indent="0" shrinkToFit="false"/>
      <protection locked="true" hidden="false"/>
    </xf>
    <xf numFmtId="164" fontId="0" fillId="0" borderId="7" xfId="0" applyFont="false" applyBorder="true" applyAlignment="true" applyProtection="true">
      <alignment horizontal="general" vertical="center" textRotation="0" wrapText="true" indent="0" shrinkToFit="false"/>
      <protection locked="true" hidden="false"/>
    </xf>
    <xf numFmtId="166" fontId="0" fillId="0" borderId="7" xfId="0" applyFont="false" applyBorder="true" applyAlignment="true" applyProtection="true">
      <alignment horizontal="general" vertical="center" textRotation="0" wrapText="true" indent="0" shrinkToFit="false"/>
      <protection locked="true" hidden="false"/>
    </xf>
    <xf numFmtId="164" fontId="0" fillId="0" borderId="4" xfId="0" applyFont="false" applyBorder="true" applyAlignment="true" applyProtection="true">
      <alignment horizontal="center" vertical="bottom" textRotation="0" wrapText="true" indent="0" shrinkToFit="false"/>
      <protection locked="true" hidden="false"/>
    </xf>
    <xf numFmtId="164" fontId="0" fillId="0" borderId="1" xfId="0" applyFont="false" applyBorder="true" applyAlignment="true" applyProtection="true">
      <alignment horizontal="center" vertical="bottom" textRotation="0" wrapText="true" indent="0" shrinkToFit="false"/>
      <protection locked="true" hidden="false"/>
    </xf>
    <xf numFmtId="164" fontId="10" fillId="0" borderId="9" xfId="0" applyFont="true" applyBorder="true" applyAlignment="true" applyProtection="true">
      <alignment horizontal="left" vertical="center" textRotation="0" wrapText="true" indent="0" shrinkToFit="false"/>
      <protection locked="true" hidden="false"/>
    </xf>
    <xf numFmtId="165" fontId="0" fillId="0" borderId="7" xfId="0" applyFont="false" applyBorder="true" applyAlignment="true" applyProtection="true">
      <alignment horizontal="center" vertical="bottom" textRotation="0" wrapText="false" indent="0" shrinkToFit="false"/>
      <protection locked="true" hidden="false"/>
    </xf>
    <xf numFmtId="164" fontId="0" fillId="0" borderId="7" xfId="0" applyFont="false" applyBorder="true" applyAlignment="true" applyProtection="true">
      <alignment horizontal="general" vertical="bottom" textRotation="0" wrapText="false" indent="0" shrinkToFit="false"/>
      <protection locked="true" hidden="false"/>
    </xf>
    <xf numFmtId="166" fontId="11" fillId="0" borderId="7" xfId="0" applyFont="true" applyBorder="true" applyAlignment="true" applyProtection="true">
      <alignment horizontal="general" vertical="bottom" textRotation="0" wrapText="true" indent="0" shrinkToFit="false"/>
      <protection locked="true" hidden="false"/>
    </xf>
    <xf numFmtId="164" fontId="0" fillId="0" borderId="10" xfId="0" applyFont="false" applyBorder="true" applyAlignment="true" applyProtection="true">
      <alignment horizontal="general" vertical="bottom" textRotation="0" wrapText="false" indent="0" shrinkToFit="false"/>
      <protection locked="true" hidden="false"/>
    </xf>
    <xf numFmtId="164" fontId="10" fillId="0" borderId="7" xfId="0" applyFont="true" applyBorder="true" applyAlignment="true" applyProtection="true">
      <alignment horizontal="left" vertical="center" textRotation="0" wrapText="true" indent="0" shrinkToFit="false"/>
      <protection locked="true" hidden="false"/>
    </xf>
    <xf numFmtId="164" fontId="11" fillId="0" borderId="7" xfId="0" applyFont="true" applyBorder="true" applyAlignment="true" applyProtection="true">
      <alignment horizontal="general" vertical="bottom" textRotation="0" wrapText="true" indent="0" shrinkToFit="false"/>
      <protection locked="true" hidden="false"/>
    </xf>
    <xf numFmtId="164" fontId="12" fillId="0" borderId="9"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8" fillId="0" borderId="11" xfId="0" applyFont="true" applyBorder="true" applyAlignment="true" applyProtection="true">
      <alignment horizontal="general" vertical="bottom" textRotation="0" wrapText="false" indent="0" shrinkToFit="false"/>
      <protection locked="true" hidden="false"/>
    </xf>
    <xf numFmtId="166" fontId="0" fillId="0" borderId="6" xfId="0" applyFont="false" applyBorder="true" applyAlignment="true" applyProtection="true">
      <alignment horizontal="general" vertical="bottom" textRotation="0" wrapText="false" indent="0" shrinkToFit="false"/>
      <protection locked="true" hidden="false"/>
    </xf>
    <xf numFmtId="164" fontId="8" fillId="0" borderId="12"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center" textRotation="0" wrapText="true" indent="0" shrinkToFit="false"/>
      <protection locked="true" hidden="false"/>
    </xf>
    <xf numFmtId="164" fontId="0" fillId="0" borderId="0" xfId="0" applyFont="false" applyBorder="true" applyAlignment="true" applyProtection="true">
      <alignment horizontal="center" vertical="center" textRotation="0" wrapText="true" indent="0" shrinkToFit="false"/>
      <protection locked="true" hidden="false"/>
    </xf>
    <xf numFmtId="164" fontId="12" fillId="0" borderId="7" xfId="0" applyFont="true" applyBorder="true" applyAlignment="true" applyProtection="true">
      <alignment horizontal="general" vertical="center" textRotation="0" wrapText="false" indent="0" shrinkToFit="false"/>
      <protection locked="true" hidden="false"/>
    </xf>
    <xf numFmtId="164" fontId="8" fillId="0" borderId="7" xfId="0" applyFont="true" applyBorder="true" applyAlignment="true" applyProtection="true">
      <alignment horizontal="general" vertical="bottom" textRotation="0" wrapText="false" indent="0" shrinkToFit="false"/>
      <protection locked="true" hidden="false"/>
    </xf>
    <xf numFmtId="164" fontId="13" fillId="0" borderId="13" xfId="0" applyFont="true" applyBorder="tru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3" xfId="0" applyFont="false" applyBorder="true" applyAlignment="true" applyProtection="true">
      <alignment horizontal="center" vertical="bottom" textRotation="0" wrapText="false" indent="0" shrinkToFit="false"/>
      <protection locked="true" hidden="false"/>
    </xf>
    <xf numFmtId="164" fontId="0" fillId="0" borderId="14" xfId="0" applyFont="true" applyBorder="true" applyAlignment="true" applyProtection="true">
      <alignment horizontal="left" vertical="bottom" textRotation="0" wrapText="true" indent="0" shrinkToFit="false"/>
      <protection locked="true" hidden="false"/>
    </xf>
    <xf numFmtId="164" fontId="0" fillId="0" borderId="4" xfId="0" applyFont="false" applyBorder="true" applyAlignment="true" applyProtection="true">
      <alignment horizontal="center" vertical="bottom" textRotation="0" wrapText="false" indent="0" shrinkToFit="false"/>
      <protection locked="true" hidden="false"/>
    </xf>
    <xf numFmtId="164" fontId="0" fillId="0" borderId="1" xfId="0" applyFont="false" applyBorder="true" applyAlignment="true" applyProtection="true">
      <alignment horizontal="center" vertical="bottom" textRotation="0" wrapText="false" indent="0" shrinkToFit="false"/>
      <protection locked="true" hidden="false"/>
    </xf>
    <xf numFmtId="164" fontId="12" fillId="2" borderId="0" xfId="0" applyFont="true" applyBorder="false" applyAlignment="true" applyProtection="tru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xf numFmtId="164" fontId="0" fillId="2" borderId="15" xfId="0" applyFont="false" applyBorder="true" applyAlignment="true" applyProtection="true">
      <alignment horizontal="general" vertical="center" textRotation="0" wrapText="true" indent="0" shrinkToFit="false"/>
      <protection locked="true" hidden="false"/>
    </xf>
    <xf numFmtId="164" fontId="0" fillId="2" borderId="2" xfId="0" applyFont="false" applyBorder="true" applyAlignment="true" applyProtection="true">
      <alignment horizontal="general" vertical="bottom" textRotation="0" wrapText="false" indent="0" shrinkToFit="false"/>
      <protection locked="true" hidden="false"/>
    </xf>
    <xf numFmtId="164" fontId="0" fillId="2" borderId="14" xfId="0" applyFont="false" applyBorder="true" applyAlignment="true" applyProtection="true">
      <alignment horizontal="general" vertical="bottom" textRotation="0" wrapText="false" indent="0" shrinkToFit="false"/>
      <protection locked="true" hidden="false"/>
    </xf>
    <xf numFmtId="164" fontId="12" fillId="0" borderId="7" xfId="0" applyFont="true" applyBorder="true" applyAlignment="true" applyProtection="true">
      <alignment horizontal="center" vertical="center" textRotation="0" wrapText="true" indent="0" shrinkToFit="false"/>
      <protection locked="true" hidden="false"/>
    </xf>
    <xf numFmtId="164" fontId="0" fillId="0" borderId="7" xfId="0" applyFont="true" applyBorder="true" applyAlignment="true" applyProtection="true">
      <alignment horizontal="center" vertical="center" textRotation="0" wrapText="true" indent="0" shrinkToFit="false"/>
      <protection locked="true" hidden="false"/>
    </xf>
    <xf numFmtId="164" fontId="14" fillId="0" borderId="4" xfId="0" applyFont="true" applyBorder="true" applyAlignment="true" applyProtection="true">
      <alignment horizontal="general" vertical="bottom" textRotation="0" wrapText="false" indent="0" shrinkToFit="false"/>
      <protection locked="true" hidden="false"/>
    </xf>
    <xf numFmtId="164" fontId="10" fillId="0" borderId="7" xfId="0" applyFont="true" applyBorder="true" applyAlignment="true" applyProtection="true">
      <alignment horizontal="center" vertical="center" textRotation="0" wrapText="tru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5" fontId="15" fillId="0" borderId="7" xfId="0" applyFont="true" applyBorder="true" applyAlignment="true" applyProtection="true">
      <alignment horizontal="center" vertical="bottom" textRotation="0" wrapText="false" indent="0" shrinkToFit="false"/>
      <protection locked="true" hidden="false"/>
    </xf>
    <xf numFmtId="164" fontId="10" fillId="0" borderId="12" xfId="0" applyFont="true" applyBorder="true" applyAlignment="true" applyProtection="true">
      <alignment horizontal="center" vertical="bottom" textRotation="0" wrapText="false" indent="0" shrinkToFit="false"/>
      <protection locked="true" hidden="false"/>
    </xf>
    <xf numFmtId="164" fontId="0" fillId="0" borderId="12" xfId="0" applyFont="false" applyBorder="true" applyAlignment="true" applyProtection="true">
      <alignment horizontal="center" vertical="bottom" textRotation="0" wrapText="false" indent="0" shrinkToFit="false"/>
      <protection locked="true" hidden="false"/>
    </xf>
    <xf numFmtId="165" fontId="14" fillId="0" borderId="12" xfId="0" applyFont="true" applyBorder="true" applyAlignment="true" applyProtection="true">
      <alignment horizontal="center" vertical="bottom" textRotation="0" wrapText="false" indent="0" shrinkToFit="false"/>
      <protection locked="true" hidden="false"/>
    </xf>
    <xf numFmtId="164" fontId="14" fillId="0" borderId="12" xfId="0" applyFont="true" applyBorder="true" applyAlignment="true" applyProtection="true">
      <alignment horizontal="center" vertical="bottom" textRotation="0" wrapText="tru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center" vertical="bottom" textRotation="0" wrapText="true" indent="0" shrinkToFit="false"/>
      <protection locked="true" hidden="false"/>
    </xf>
    <xf numFmtId="165" fontId="14" fillId="0" borderId="17" xfId="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5" fontId="0" fillId="0" borderId="7" xfId="0" applyFont="false" applyBorder="true" applyAlignment="true" applyProtection="true">
      <alignment horizontal="general" vertical="bottom" textRotation="0" wrapText="false" indent="0" shrinkToFit="false"/>
      <protection locked="true" hidden="false"/>
    </xf>
    <xf numFmtId="164" fontId="10" fillId="0" borderId="12" xfId="0" applyFont="true" applyBorder="true" applyAlignment="true" applyProtection="true">
      <alignment horizontal="general" vertical="bottom" textRotation="0" wrapText="false" indent="0" shrinkToFit="false"/>
      <protection locked="true" hidden="false"/>
    </xf>
    <xf numFmtId="164" fontId="0" fillId="2" borderId="3" xfId="0" applyFont="false" applyBorder="true" applyAlignment="true" applyProtection="true">
      <alignment horizontal="general" vertical="bottom" textRotation="0" wrapText="false" indent="0" shrinkToFit="false"/>
      <protection locked="true" hidden="false"/>
    </xf>
    <xf numFmtId="164" fontId="14" fillId="0" borderId="12" xfId="0" applyFont="true" applyBorder="true" applyAlignment="true" applyProtection="true">
      <alignment horizontal="general" vertical="bottom" textRotation="0" wrapText="false" indent="0" shrinkToFit="false"/>
      <protection locked="true" hidden="false"/>
    </xf>
    <xf numFmtId="164" fontId="10" fillId="0" borderId="18" xfId="0" applyFont="true" applyBorder="true" applyAlignment="true" applyProtection="true">
      <alignment horizontal="left" vertical="center" textRotation="0" wrapText="true" indent="0" shrinkToFit="false"/>
      <protection locked="true" hidden="false"/>
    </xf>
    <xf numFmtId="164" fontId="0" fillId="2" borderId="4" xfId="0" applyFont="false" applyBorder="true" applyAlignment="true" applyProtection="true">
      <alignment horizontal="general" vertical="bottom" textRotation="0" wrapText="false" indent="0" shrinkToFit="false"/>
      <protection locked="true" hidden="false"/>
    </xf>
    <xf numFmtId="164" fontId="8" fillId="0" borderId="9" xfId="0" applyFont="true" applyBorder="true" applyAlignment="true" applyProtection="true">
      <alignment horizontal="general" vertical="bottom" textRotation="0" wrapText="false" indent="0" shrinkToFit="false"/>
      <protection locked="true" hidden="false"/>
    </xf>
    <xf numFmtId="164" fontId="8" fillId="0" borderId="11" xfId="0" applyFont="true" applyBorder="true" applyAlignment="true" applyProtection="true">
      <alignment horizontal="center" vertical="bottom" textRotation="0" wrapText="false" indent="0" shrinkToFit="false"/>
      <protection locked="true" hidden="false"/>
    </xf>
    <xf numFmtId="164" fontId="0" fillId="0" borderId="19" xfId="0" applyFont="false" applyBorder="true" applyAlignment="true" applyProtection="true">
      <alignment horizontal="general" vertical="bottom" textRotation="0" wrapText="false" indent="0" shrinkToFit="false"/>
      <protection locked="true" hidden="false"/>
    </xf>
    <xf numFmtId="164" fontId="0" fillId="0" borderId="20" xfId="0" applyFont="false" applyBorder="true" applyAlignment="true" applyProtection="true">
      <alignment horizontal="general" vertical="bottom" textRotation="0" wrapText="false" indent="0" shrinkToFit="false"/>
      <protection locked="true" hidden="false"/>
    </xf>
    <xf numFmtId="164" fontId="0" fillId="2" borderId="2" xfId="0" applyFont="false" applyBorder="true" applyAlignment="true" applyProtection="true">
      <alignment horizontal="general" vertical="center" textRotation="0" wrapText="true" indent="0" shrinkToFit="false"/>
      <protection locked="true" hidden="false"/>
    </xf>
    <xf numFmtId="164" fontId="8" fillId="0" borderId="21" xfId="0" applyFont="true" applyBorder="true" applyAlignment="true" applyProtection="true">
      <alignment horizontal="general" vertical="bottom" textRotation="0" wrapText="false" indent="0" shrinkToFit="false"/>
      <protection locked="true" hidden="false"/>
    </xf>
    <xf numFmtId="164" fontId="8" fillId="0" borderId="22" xfId="0" applyFont="true" applyBorder="true" applyAlignment="true" applyProtection="true">
      <alignment horizontal="general" vertical="bottom" textRotation="0" wrapText="false" indent="0" shrinkToFit="false"/>
      <protection locked="true" hidden="false"/>
    </xf>
    <xf numFmtId="164" fontId="8" fillId="0" borderId="23" xfId="0" applyFont="true" applyBorder="true" applyAlignment="true" applyProtection="true">
      <alignment horizontal="general" vertical="bottom" textRotation="0" wrapText="false" indent="0" shrinkToFit="false"/>
      <protection locked="true" hidden="false"/>
    </xf>
    <xf numFmtId="164" fontId="16" fillId="0" borderId="23" xfId="0" applyFont="true" applyBorder="true" applyAlignment="true" applyProtection="true">
      <alignment horizontal="general" vertical="bottom" textRotation="0" wrapText="false" indent="0" shrinkToFit="false"/>
      <protection locked="true" hidden="false"/>
    </xf>
    <xf numFmtId="164" fontId="0" fillId="2" borderId="8" xfId="0" applyFont="false" applyBorder="true" applyAlignment="true" applyProtection="true">
      <alignment horizontal="general" vertical="center" textRotation="0" wrapText="true" indent="0" shrinkToFit="false"/>
      <protection locked="true" hidden="false"/>
    </xf>
    <xf numFmtId="164" fontId="17" fillId="2" borderId="0" xfId="0" applyFont="true" applyBorder="false" applyAlignment="true" applyProtection="true">
      <alignment horizontal="general" vertical="bottom" textRotation="0" wrapText="false" indent="0" shrinkToFit="false"/>
      <protection locked="true" hidden="false"/>
    </xf>
    <xf numFmtId="164" fontId="18" fillId="2" borderId="7" xfId="0" applyFont="true" applyBorder="true" applyAlignment="true" applyProtection="true">
      <alignment horizontal="general" vertical="bottom" textRotation="0" wrapText="false" indent="0" shrinkToFit="false"/>
      <protection locked="true" hidden="false"/>
    </xf>
    <xf numFmtId="164" fontId="18" fillId="2" borderId="12" xfId="0" applyFont="true" applyBorder="true" applyAlignment="true" applyProtection="true">
      <alignment horizontal="general" vertical="bottom" textRotation="0" wrapText="false" indent="0" shrinkToFit="false"/>
      <protection locked="true" hidden="false"/>
    </xf>
    <xf numFmtId="164" fontId="10" fillId="2" borderId="0" xfId="0" applyFont="true" applyBorder="false" applyAlignment="true" applyProtection="true">
      <alignment horizontal="general" vertical="center" textRotation="0" wrapText="false" indent="0" shrinkToFit="false"/>
      <protection locked="true" hidden="false"/>
    </xf>
    <xf numFmtId="164" fontId="10" fillId="2" borderId="0" xfId="0" applyFont="true" applyBorder="false" applyAlignment="true" applyProtection="true">
      <alignment horizontal="general" vertical="center" textRotation="0" wrapText="tru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19" fillId="2" borderId="0" xfId="0" applyFont="true" applyBorder="false" applyAlignment="true" applyProtection="true">
      <alignment horizontal="general" vertical="bottom" textRotation="0" wrapText="true" indent="0" shrinkToFit="false"/>
      <protection locked="true" hidden="false"/>
    </xf>
    <xf numFmtId="164" fontId="0" fillId="2" borderId="3" xfId="0" applyFont="true" applyBorder="tru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center" vertical="center" textRotation="0" wrapText="true" indent="0" shrinkToFit="false"/>
      <protection locked="true" hidden="false"/>
    </xf>
    <xf numFmtId="164" fontId="18" fillId="0" borderId="24" xfId="0" applyFont="true" applyBorder="true" applyAlignment="true" applyProtection="true">
      <alignment horizontal="center" vertical="center" textRotation="0" wrapText="true" indent="0" shrinkToFit="false"/>
      <protection locked="true" hidden="false"/>
    </xf>
    <xf numFmtId="164" fontId="18" fillId="0" borderId="25" xfId="0" applyFont="true" applyBorder="true" applyAlignment="true" applyProtection="true">
      <alignment horizontal="center" vertical="center" textRotation="0" wrapText="true" indent="0" shrinkToFit="false"/>
      <protection locked="true" hidden="false"/>
    </xf>
    <xf numFmtId="164" fontId="18" fillId="0" borderId="26" xfId="0" applyFont="true" applyBorder="true" applyAlignment="true" applyProtection="true">
      <alignment horizontal="center" vertical="center" textRotation="0" wrapText="true" indent="0" shrinkToFit="false"/>
      <protection locked="true" hidden="false"/>
    </xf>
    <xf numFmtId="164" fontId="18" fillId="0" borderId="27" xfId="0" applyFont="true" applyBorder="true" applyAlignment="true" applyProtection="true">
      <alignment horizontal="center" vertical="center" textRotation="90" wrapText="false" indent="0" shrinkToFit="false"/>
      <protection locked="true" hidden="false"/>
    </xf>
    <xf numFmtId="164" fontId="18" fillId="0" borderId="28" xfId="0" applyFont="true" applyBorder="true" applyAlignment="true" applyProtection="true">
      <alignment horizontal="center" vertical="center" textRotation="90" wrapText="true" indent="0" shrinkToFit="false"/>
      <protection locked="true" hidden="false"/>
    </xf>
    <xf numFmtId="164" fontId="18" fillId="0" borderId="29" xfId="0" applyFont="true" applyBorder="true" applyAlignment="true" applyProtection="true">
      <alignment horizontal="general" vertical="bottom" textRotation="0" wrapText="false" indent="0" shrinkToFit="false"/>
      <protection locked="true" hidden="false"/>
    </xf>
    <xf numFmtId="164" fontId="10" fillId="0" borderId="29" xfId="0" applyFont="true" applyBorder="true" applyAlignment="true" applyProtection="true">
      <alignment horizontal="general" vertical="bottom" textRotation="0" wrapText="false" indent="0" shrinkToFit="false"/>
      <protection locked="true" hidden="false"/>
    </xf>
    <xf numFmtId="164" fontId="10" fillId="0" borderId="30" xfId="0" applyFont="true" applyBorder="true" applyAlignment="true" applyProtection="true">
      <alignment horizontal="general" vertical="bottom" textRotation="0" wrapText="false" indent="0" shrinkToFit="false"/>
      <protection locked="true" hidden="false"/>
    </xf>
    <xf numFmtId="164" fontId="10" fillId="0" borderId="31"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8" fillId="0" borderId="32" xfId="0" applyFont="true" applyBorder="true" applyAlignment="true" applyProtection="true">
      <alignment horizontal="general" vertical="bottom" textRotation="0" wrapText="false" indent="0" shrinkToFit="false"/>
      <protection locked="true" hidden="false"/>
    </xf>
    <xf numFmtId="164" fontId="10" fillId="0" borderId="32" xfId="0" applyFont="true" applyBorder="true" applyAlignment="true" applyProtection="true">
      <alignment horizontal="general" vertical="bottom" textRotation="0" wrapText="false" indent="0" shrinkToFit="false"/>
      <protection locked="true" hidden="false"/>
    </xf>
    <xf numFmtId="164" fontId="10" fillId="0" borderId="33" xfId="0" applyFont="true" applyBorder="true" applyAlignment="true" applyProtection="true">
      <alignment horizontal="general" vertical="bottom" textRotation="0" wrapText="false" indent="0" shrinkToFit="false"/>
      <protection locked="true" hidden="false"/>
    </xf>
    <xf numFmtId="164" fontId="18" fillId="0" borderId="0" xfId="0" applyFont="true" applyBorder="true" applyAlignment="true" applyProtection="true">
      <alignment horizontal="center" vertical="center" textRotation="90" wrapText="true" indent="0" shrinkToFit="false"/>
      <protection locked="true" hidden="false"/>
    </xf>
    <xf numFmtId="164" fontId="10" fillId="0" borderId="0" xfId="0" applyFont="true" applyBorder="false" applyAlignment="true" applyProtection="true">
      <alignment horizontal="right" vertical="bottom" textRotation="0" wrapText="false" indent="0" shrinkToFit="false"/>
      <protection locked="true" hidden="false"/>
    </xf>
    <xf numFmtId="164" fontId="18" fillId="0" borderId="0" xfId="0" applyFont="true" applyBorder="false" applyAlignment="true" applyProtection="true">
      <alignment horizontal="right"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center" vertical="bottom" textRotation="0" wrapText="false" indent="0" shrinkToFit="false"/>
      <protection locked="true" hidden="false"/>
    </xf>
    <xf numFmtId="164" fontId="10" fillId="3" borderId="0" xfId="0" applyFont="true" applyBorder="false" applyAlignment="true" applyProtection="true">
      <alignment horizontal="general" vertical="bottom" textRotation="0" wrapText="false" indent="0" shrinkToFit="false"/>
      <protection locked="true" hidden="false"/>
    </xf>
    <xf numFmtId="164" fontId="10" fillId="0" borderId="7" xfId="0" applyFont="true" applyBorder="true" applyAlignment="true" applyProtection="true">
      <alignment horizontal="right" vertical="center" textRotation="0" wrapText="true" indent="0" shrinkToFit="false"/>
      <protection locked="true" hidden="false"/>
    </xf>
    <xf numFmtId="164" fontId="10" fillId="0" borderId="7" xfId="0" applyFont="true" applyBorder="true" applyAlignment="true" applyProtection="true">
      <alignment horizontal="general" vertical="bottom" textRotation="0" wrapText="false" indent="0" shrinkToFit="false"/>
      <protection locked="true" hidden="false"/>
    </xf>
    <xf numFmtId="167" fontId="10" fillId="0" borderId="7" xfId="0" applyFont="true" applyBorder="true" applyAlignment="true" applyProtection="true">
      <alignment horizontal="general" vertical="bottom" textRotation="0" wrapText="false" indent="0" shrinkToFit="false"/>
      <protection locked="true" hidden="false"/>
    </xf>
    <xf numFmtId="164" fontId="20" fillId="0" borderId="7" xfId="0" applyFont="true" applyBorder="true" applyAlignment="true" applyProtection="true">
      <alignment horizontal="general" vertical="bottom" textRotation="0" wrapText="false" indent="0" shrinkToFit="false"/>
      <protection locked="true" hidden="false"/>
    </xf>
    <xf numFmtId="164" fontId="10" fillId="0" borderId="34" xfId="0" applyFont="true" applyBorder="true" applyAlignment="true" applyProtection="true">
      <alignment horizontal="general" vertical="bottom" textRotation="0" wrapText="false" indent="0" shrinkToFit="false"/>
      <protection locked="true" hidden="false"/>
    </xf>
    <xf numFmtId="167" fontId="18" fillId="0" borderId="7" xfId="0" applyFont="true" applyBorder="true" applyAlignment="true" applyProtection="true">
      <alignment horizontal="general" vertical="bottom" textRotation="0" wrapText="false" indent="0" shrinkToFit="false"/>
      <protection locked="true" hidden="false"/>
    </xf>
    <xf numFmtId="164" fontId="18" fillId="0" borderId="7" xfId="0" applyFont="true" applyBorder="true" applyAlignment="true" applyProtection="true">
      <alignment horizontal="general" vertical="bottom" textRotation="0" wrapText="false" indent="0" shrinkToFit="false"/>
      <protection locked="true" hidden="false"/>
    </xf>
    <xf numFmtId="167" fontId="18" fillId="0" borderId="17" xfId="0" applyFont="true" applyBorder="true" applyAlignment="true" applyProtection="true">
      <alignment horizontal="general" vertical="bottom" textRotation="0" wrapText="false" indent="0" shrinkToFit="false"/>
      <protection locked="true" hidden="false"/>
    </xf>
    <xf numFmtId="164" fontId="10" fillId="0" borderId="9" xfId="0" applyFont="true" applyBorder="true" applyAlignment="true" applyProtection="true">
      <alignment horizontal="right" vertical="bottom" textRotation="0" wrapText="false" indent="0" shrinkToFit="false"/>
      <protection locked="true" hidden="false"/>
    </xf>
    <xf numFmtId="167" fontId="0" fillId="0" borderId="7" xfId="19" applyFont="true" applyBorder="true" applyAlignment="true" applyProtection="true">
      <alignment horizontal="general" vertical="bottom" textRotation="0" wrapText="false" indent="0" shrinkToFit="false"/>
      <protection locked="true" hidden="false"/>
    </xf>
    <xf numFmtId="167" fontId="0" fillId="0" borderId="34" xfId="19" applyFont="true" applyBorder="true" applyAlignment="true" applyProtection="true">
      <alignment horizontal="general" vertical="bottom" textRotation="0" wrapText="false" indent="0" shrinkToFit="false"/>
      <protection locked="true" hidden="false"/>
    </xf>
    <xf numFmtId="167" fontId="8" fillId="0" borderId="7" xfId="19" applyFont="true" applyBorder="true" applyAlignment="true" applyProtection="true">
      <alignment horizontal="general" vertical="bottom" textRotation="0" wrapText="false" indent="0" shrinkToFit="false"/>
      <protection locked="true" hidden="false"/>
    </xf>
    <xf numFmtId="164" fontId="0" fillId="0" borderId="33" xfId="0" applyFont="false" applyBorder="true" applyAlignment="true" applyProtection="true">
      <alignment horizontal="general" vertical="bottom" textRotation="0" wrapText="false" indent="0" shrinkToFit="false"/>
      <protection locked="true" hidden="false"/>
    </xf>
    <xf numFmtId="164" fontId="18" fillId="0" borderId="35" xfId="0" applyFont="true" applyBorder="true" applyAlignment="true" applyProtection="true">
      <alignment horizontal="center" vertical="center" textRotation="90" wrapText="true" indent="0" shrinkToFit="false"/>
      <protection locked="true" hidden="false"/>
    </xf>
    <xf numFmtId="164" fontId="18" fillId="0" borderId="36" xfId="0" applyFont="true" applyBorder="true" applyAlignment="true" applyProtection="true">
      <alignment horizontal="general" vertical="bottom" textRotation="0" wrapText="false" indent="0" shrinkToFit="false"/>
      <protection locked="true" hidden="false"/>
    </xf>
    <xf numFmtId="164" fontId="10" fillId="0" borderId="36" xfId="0" applyFont="true" applyBorder="true" applyAlignment="true" applyProtection="true">
      <alignment horizontal="general" vertical="bottom" textRotation="0" wrapText="false" indent="0" shrinkToFit="false"/>
      <protection locked="true" hidden="false"/>
    </xf>
    <xf numFmtId="164" fontId="10" fillId="0" borderId="35" xfId="0" applyFont="true" applyBorder="true" applyAlignment="true" applyProtection="true">
      <alignment horizontal="general" vertical="bottom" textRotation="0" wrapText="false" indent="0" shrinkToFit="false"/>
      <protection locked="true" hidden="false"/>
    </xf>
    <xf numFmtId="164" fontId="10" fillId="0" borderId="37" xfId="0" applyFont="true" applyBorder="true" applyAlignment="true" applyProtection="true">
      <alignment horizontal="general" vertical="bottom" textRotation="0" wrapText="false" indent="0" shrinkToFit="false"/>
      <protection locked="true" hidden="false"/>
    </xf>
    <xf numFmtId="164" fontId="18" fillId="0" borderId="30" xfId="0" applyFont="true" applyBorder="true" applyAlignment="true" applyProtection="true">
      <alignment horizontal="center" vertical="center" textRotation="90" wrapText="tru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18" fillId="0" borderId="27" xfId="0" applyFont="true" applyBorder="true" applyAlignment="true" applyProtection="true">
      <alignment horizontal="general" vertical="bottom" textRotation="0" wrapText="false" indent="0" shrinkToFit="false"/>
      <protection locked="true" hidden="false"/>
    </xf>
    <xf numFmtId="164" fontId="18" fillId="0" borderId="38" xfId="0" applyFont="true" applyBorder="true" applyAlignment="true" applyProtection="true">
      <alignment horizontal="general" vertical="bottom" textRotation="0" wrapText="false" indent="0" shrinkToFit="false"/>
      <protection locked="true" hidden="false"/>
    </xf>
    <xf numFmtId="164" fontId="18" fillId="0" borderId="31" xfId="0" applyFont="true" applyBorder="true" applyAlignment="true" applyProtection="true">
      <alignment horizontal="general" vertical="bottom" textRotation="0" wrapText="false" indent="0" shrinkToFit="false"/>
      <protection locked="true" hidden="false"/>
    </xf>
    <xf numFmtId="164" fontId="18" fillId="0" borderId="39" xfId="0" applyFont="true" applyBorder="true" applyAlignment="true" applyProtection="true">
      <alignment horizontal="center" vertical="bottom" textRotation="0" wrapText="false" indent="0" shrinkToFit="false"/>
      <protection locked="true" hidden="false"/>
    </xf>
    <xf numFmtId="164" fontId="18" fillId="0" borderId="40" xfId="0" applyFont="true" applyBorder="true" applyAlignment="true" applyProtection="true">
      <alignment horizontal="general" vertical="bottom" textRotation="0" wrapText="false" indent="0" shrinkToFit="false"/>
      <protection locked="true" hidden="false"/>
    </xf>
    <xf numFmtId="164" fontId="18" fillId="0" borderId="41" xfId="0" applyFont="true" applyBorder="true" applyAlignment="true" applyProtection="true">
      <alignment horizontal="center" vertical="bottom" textRotation="0" wrapText="false" indent="0" shrinkToFit="false"/>
      <protection locked="true" hidden="false"/>
    </xf>
    <xf numFmtId="164" fontId="18" fillId="0" borderId="42" xfId="0" applyFont="true" applyBorder="true" applyAlignment="true" applyProtection="true">
      <alignment horizontal="center" vertical="bottom" textRotation="0" wrapText="false" indent="0" shrinkToFit="false"/>
      <protection locked="true" hidden="false"/>
    </xf>
    <xf numFmtId="165" fontId="0" fillId="4" borderId="0" xfId="0" applyFont="false" applyBorder="false" applyAlignment="true" applyProtection="true">
      <alignment horizontal="general" vertical="bottom" textRotation="0" wrapText="false" indent="0" shrinkToFit="false"/>
      <protection locked="true" hidden="false"/>
    </xf>
    <xf numFmtId="164" fontId="15" fillId="5" borderId="0" xfId="0" applyFont="true" applyBorder="false" applyAlignment="true" applyProtection="true">
      <alignment horizontal="general" vertical="bottom" textRotation="0" wrapText="false" indent="0" shrinkToFit="false"/>
      <protection locked="true" hidden="false"/>
    </xf>
    <xf numFmtId="166" fontId="15" fillId="5" borderId="0" xfId="0" applyFont="true" applyBorder="false" applyAlignment="true" applyProtection="true">
      <alignment horizontal="general" vertical="bottom"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8" fontId="9" fillId="0" borderId="11"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8" fontId="0" fillId="5" borderId="0" xfId="0" applyFont="false" applyBorder="false" applyAlignment="true" applyProtection="true">
      <alignment horizontal="general" vertical="bottom" textRotation="0" wrapText="false" indent="0" shrinkToFit="false"/>
      <protection locked="true" hidden="false"/>
    </xf>
    <xf numFmtId="168" fontId="8" fillId="0" borderId="40" xfId="0" applyFont="true" applyBorder="tru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2" fillId="2" borderId="0" xfId="0" applyFont="true" applyBorder="false" applyAlignment="true" applyProtection="true">
      <alignment horizontal="left" vertical="center" textRotation="0" wrapText="false" indent="0" shrinkToFit="false"/>
      <protection locked="true" hidden="false"/>
    </xf>
    <xf numFmtId="164" fontId="23" fillId="2" borderId="0" xfId="0" applyFont="true" applyBorder="false" applyAlignment="true" applyProtection="true">
      <alignment horizontal="left" vertical="center" textRotation="0" wrapText="false" indent="0" shrinkToFit="false"/>
      <protection locked="true" hidden="false"/>
    </xf>
    <xf numFmtId="164" fontId="24" fillId="2" borderId="0" xfId="0" applyFont="true" applyBorder="false" applyAlignment="true" applyProtection="true">
      <alignment horizontal="left" vertical="center" textRotation="0" wrapText="false" indent="0" shrinkToFit="false"/>
      <protection locked="true" hidden="false"/>
    </xf>
    <xf numFmtId="164" fontId="25" fillId="0" borderId="1" xfId="0" applyFont="true" applyBorder="true" applyAlignment="true" applyProtection="true">
      <alignment horizontal="general" vertical="bottom" textRotation="0" wrapText="false" indent="0" shrinkToFit="false"/>
      <protection locked="true" hidden="false"/>
    </xf>
    <xf numFmtId="164" fontId="26" fillId="0" borderId="1" xfId="0" applyFont="true" applyBorder="true" applyAlignment="true" applyProtection="true">
      <alignment horizontal="general" vertical="bottom" textRotation="0" wrapText="false" indent="0" shrinkToFit="false"/>
      <protection locked="true" hidden="false"/>
    </xf>
    <xf numFmtId="164" fontId="27" fillId="0" borderId="1" xfId="0" applyFont="true" applyBorder="true" applyAlignment="true" applyProtection="true">
      <alignment horizontal="general" vertical="bottom" textRotation="0" wrapText="false" indent="0" shrinkToFit="false"/>
      <protection locked="true" hidden="false"/>
    </xf>
    <xf numFmtId="164" fontId="27" fillId="0" borderId="3" xfId="0" applyFont="true" applyBorder="true" applyAlignment="true" applyProtection="true">
      <alignment horizontal="left" vertical="center" textRotation="0" wrapText="true" indent="0" shrinkToFit="false"/>
      <protection locked="true" hidden="false"/>
    </xf>
    <xf numFmtId="164" fontId="27" fillId="0" borderId="5" xfId="0" applyFont="true" applyBorder="true" applyAlignment="true" applyProtection="true">
      <alignment horizontal="general" vertical="bottom" textRotation="0" wrapText="false" indent="0" shrinkToFit="false"/>
      <protection locked="true" hidden="false"/>
    </xf>
    <xf numFmtId="164" fontId="26" fillId="0" borderId="3" xfId="0" applyFont="true" applyBorder="true" applyAlignment="true" applyProtection="true">
      <alignment horizontal="general" vertical="bottom" textRotation="0" wrapText="false" indent="0" shrinkToFit="false"/>
      <protection locked="true" hidden="false"/>
    </xf>
    <xf numFmtId="164" fontId="26" fillId="0" borderId="43" xfId="0" applyFont="true" applyBorder="true" applyAlignment="true" applyProtection="true">
      <alignment horizontal="general" vertical="bottom" textRotation="0" wrapText="false" indent="0" shrinkToFit="false"/>
      <protection locked="true" hidden="false"/>
    </xf>
    <xf numFmtId="164" fontId="26" fillId="0" borderId="10" xfId="0" applyFont="true" applyBorder="true" applyAlignment="true" applyProtection="true">
      <alignment horizontal="general" vertical="bottom" textRotation="0" wrapText="false" indent="0" shrinkToFit="false"/>
      <protection locked="true" hidden="false"/>
    </xf>
    <xf numFmtId="164" fontId="8" fillId="0" borderId="44" xfId="0" applyFont="true" applyBorder="true" applyAlignment="true" applyProtection="true">
      <alignment horizontal="center" vertical="center" textRotation="0" wrapText="true" indent="0" shrinkToFit="false"/>
      <protection locked="true" hidden="false"/>
    </xf>
    <xf numFmtId="164" fontId="8" fillId="0" borderId="45" xfId="0" applyFont="true" applyBorder="true" applyAlignment="true" applyProtection="true">
      <alignment horizontal="center" vertical="center" textRotation="0" wrapText="true" indent="0" shrinkToFit="false"/>
      <protection locked="true" hidden="false"/>
    </xf>
    <xf numFmtId="164" fontId="0" fillId="0" borderId="0" xfId="0" applyFont="true" applyBorder="true" applyAlignment="true" applyProtection="true">
      <alignment horizontal="center" vertical="bottom" textRotation="0" wrapText="false" indent="0" shrinkToFit="false"/>
      <protection locked="true" hidden="false"/>
    </xf>
    <xf numFmtId="164" fontId="0" fillId="0" borderId="46" xfId="0" applyFont="fals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B050"/>
      <rgbColor rgb="FF003300"/>
      <rgbColor rgb="FF404040"/>
      <rgbColor rgb="FF993300"/>
      <rgbColor rgb="FF993366"/>
      <rgbColor rgb="FF334047"/>
      <rgbColor rgb="FF3C3C3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247680</xdr:colOff>
      <xdr:row>0</xdr:row>
      <xdr:rowOff>181080</xdr:rowOff>
    </xdr:from>
    <xdr:to>
      <xdr:col>17</xdr:col>
      <xdr:colOff>291960</xdr:colOff>
      <xdr:row>5</xdr:row>
      <xdr:rowOff>155160</xdr:rowOff>
    </xdr:to>
    <xdr:pic>
      <xdr:nvPicPr>
        <xdr:cNvPr id="0" name="Picture 1" descr=""/>
        <xdr:cNvPicPr/>
      </xdr:nvPicPr>
      <xdr:blipFill>
        <a:blip r:embed="rId1"/>
        <a:stretch/>
      </xdr:blipFill>
      <xdr:spPr>
        <a:xfrm>
          <a:off x="12153240" y="181080"/>
          <a:ext cx="1267200" cy="1261080"/>
        </a:xfrm>
        <a:prstGeom prst="rect">
          <a:avLst/>
        </a:prstGeom>
        <a:noFill/>
        <a:ln w="0">
          <a:noFill/>
        </a:ln>
      </xdr:spPr>
    </xdr:pic>
    <xdr:clientData/>
  </xdr:twoCellAnchor>
  <xdr:twoCellAnchor editAs="oneCell">
    <xdr:from>
      <xdr:col>1</xdr:col>
      <xdr:colOff>419040</xdr:colOff>
      <xdr:row>24</xdr:row>
      <xdr:rowOff>46440</xdr:rowOff>
    </xdr:from>
    <xdr:to>
      <xdr:col>17</xdr:col>
      <xdr:colOff>52560</xdr:colOff>
      <xdr:row>32</xdr:row>
      <xdr:rowOff>128880</xdr:rowOff>
    </xdr:to>
    <xdr:pic>
      <xdr:nvPicPr>
        <xdr:cNvPr id="1" name="Picture 2" descr=""/>
        <xdr:cNvPicPr/>
      </xdr:nvPicPr>
      <xdr:blipFill>
        <a:blip r:embed="rId2"/>
        <a:stretch/>
      </xdr:blipFill>
      <xdr:spPr>
        <a:xfrm>
          <a:off x="1030680" y="4953240"/>
          <a:ext cx="12150360" cy="160632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312"/>
  <sheetViews>
    <sheetView showFormulas="false" showGridLines="false" showRowColHeaders="true" showZeros="true" rightToLeft="false" tabSelected="true" showOutlineSymbols="true" defaultGridColor="true" view="normal" topLeftCell="A31" colorId="64" zoomScale="115" zoomScaleNormal="115" zoomScalePageLayoutView="100" workbookViewId="0">
      <selection pane="topLeft" activeCell="E48" activeCellId="0" sqref="E48"/>
    </sheetView>
  </sheetViews>
  <sheetFormatPr defaultColWidth="8.6796875" defaultRowHeight="15" customHeight="true" zeroHeight="false" outlineLevelRow="0" outlineLevelCol="0"/>
  <cols>
    <col collapsed="false" customWidth="true" hidden="false" outlineLevel="0" max="1" min="1" style="1" width="11.85"/>
    <col collapsed="false" customWidth="true" hidden="false" outlineLevel="0" max="2" min="2" style="1" width="54.85"/>
    <col collapsed="false" customWidth="true" hidden="false" outlineLevel="0" max="3" min="3" style="1" width="24.29"/>
    <col collapsed="false" customWidth="true" hidden="false" outlineLevel="0" max="4" min="4" style="1" width="15"/>
    <col collapsed="false" customWidth="true" hidden="false" outlineLevel="0" max="5" min="5" style="1" width="10"/>
    <col collapsed="false" customWidth="true" hidden="false" outlineLevel="0" max="6" min="6" style="1" width="20"/>
    <col collapsed="false" customWidth="true" hidden="false" outlineLevel="0" max="7" min="7" style="1" width="11.14"/>
    <col collapsed="false" customWidth="true" hidden="false" outlineLevel="0" max="8" min="8" style="1" width="22"/>
    <col collapsed="false" customWidth="true" hidden="false" outlineLevel="0" max="14" min="14" style="1" width="4.29"/>
  </cols>
  <sheetData>
    <row r="1" customFormat="false" ht="7.5" hidden="false" customHeight="true" outlineLevel="0" collapsed="false">
      <c r="A1" s="2"/>
      <c r="F1" s="3"/>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customFormat="false" ht="60" hidden="false" customHeight="true" outlineLevel="0" collapsed="false">
      <c r="A2" s="4"/>
      <c r="B2" s="5" t="s">
        <v>0</v>
      </c>
      <c r="F2" s="3"/>
      <c r="G2" s="2"/>
      <c r="H2" s="2"/>
      <c r="I2" s="2"/>
      <c r="J2" s="6"/>
      <c r="K2" s="6"/>
      <c r="L2" s="6"/>
      <c r="M2" s="6"/>
      <c r="N2" s="6"/>
      <c r="O2" s="6"/>
      <c r="P2" s="7"/>
      <c r="Q2" s="7"/>
      <c r="R2" s="2"/>
      <c r="S2" s="2"/>
      <c r="T2" s="2"/>
      <c r="U2" s="2"/>
      <c r="V2" s="2"/>
      <c r="W2" s="2"/>
      <c r="X2" s="2"/>
      <c r="Y2" s="2"/>
      <c r="Z2" s="2"/>
      <c r="AA2" s="2"/>
      <c r="AB2" s="2"/>
      <c r="AC2" s="2"/>
      <c r="AD2" s="2"/>
      <c r="AE2" s="2"/>
      <c r="AF2" s="2"/>
      <c r="AG2" s="2"/>
      <c r="AH2" s="2"/>
      <c r="AI2" s="2"/>
      <c r="AJ2" s="2"/>
      <c r="AK2" s="2"/>
      <c r="AL2" s="2"/>
      <c r="AM2" s="2"/>
      <c r="AN2" s="2"/>
      <c r="AO2" s="2"/>
      <c r="AP2" s="2"/>
    </row>
    <row r="3" customFormat="false" ht="220.5" hidden="false" customHeight="true" outlineLevel="0" collapsed="false">
      <c r="A3" s="4"/>
      <c r="B3" s="8" t="s">
        <v>1</v>
      </c>
      <c r="C3" s="8"/>
      <c r="D3" s="8"/>
      <c r="E3" s="8"/>
      <c r="F3" s="8"/>
      <c r="G3" s="8"/>
      <c r="H3" s="3"/>
      <c r="I3" s="2"/>
      <c r="J3" s="9"/>
      <c r="K3" s="9"/>
      <c r="L3" s="10"/>
      <c r="M3" s="9"/>
      <c r="N3" s="9"/>
      <c r="O3" s="11"/>
      <c r="P3" s="7"/>
      <c r="Q3" s="7"/>
      <c r="R3" s="2"/>
      <c r="S3" s="2"/>
      <c r="T3" s="2"/>
      <c r="U3" s="2"/>
      <c r="V3" s="2"/>
      <c r="W3" s="2"/>
      <c r="X3" s="2"/>
      <c r="Y3" s="2"/>
      <c r="Z3" s="2"/>
      <c r="AA3" s="2"/>
      <c r="AB3" s="2"/>
      <c r="AC3" s="2"/>
      <c r="AD3" s="2"/>
      <c r="AE3" s="2"/>
      <c r="AF3" s="2"/>
      <c r="AG3" s="2"/>
      <c r="AH3" s="2"/>
      <c r="AI3" s="2"/>
      <c r="AJ3" s="2"/>
      <c r="AK3" s="2"/>
      <c r="AL3" s="2"/>
      <c r="AM3" s="2"/>
      <c r="AN3" s="2"/>
      <c r="AO3" s="2"/>
      <c r="AP3" s="2"/>
    </row>
    <row r="4" customFormat="false" ht="60" hidden="false" customHeight="true" outlineLevel="0" collapsed="false">
      <c r="A4" s="4"/>
      <c r="B4" s="12" t="s">
        <v>2</v>
      </c>
      <c r="C4" s="13"/>
      <c r="I4" s="2"/>
      <c r="J4" s="9"/>
      <c r="K4" s="9"/>
      <c r="L4" s="9"/>
      <c r="M4" s="9"/>
      <c r="N4" s="9"/>
      <c r="O4" s="11"/>
      <c r="P4" s="7"/>
      <c r="Q4" s="7"/>
      <c r="R4" s="2"/>
      <c r="S4" s="2"/>
      <c r="T4" s="2"/>
      <c r="U4" s="2"/>
      <c r="V4" s="2"/>
      <c r="W4" s="2"/>
      <c r="X4" s="2"/>
      <c r="Y4" s="2"/>
      <c r="Z4" s="2"/>
      <c r="AA4" s="2"/>
      <c r="AB4" s="2"/>
      <c r="AC4" s="2"/>
      <c r="AD4" s="2"/>
      <c r="AE4" s="2"/>
      <c r="AF4" s="2"/>
      <c r="AG4" s="2"/>
      <c r="AH4" s="2"/>
      <c r="AI4" s="2"/>
      <c r="AJ4" s="2"/>
      <c r="AK4" s="2"/>
      <c r="AL4" s="2"/>
      <c r="AM4" s="2"/>
      <c r="AN4" s="2"/>
      <c r="AO4" s="2"/>
      <c r="AP4" s="2"/>
    </row>
    <row r="5" customFormat="false" ht="124.5" hidden="false" customHeight="true" outlineLevel="0" collapsed="false">
      <c r="A5" s="14"/>
      <c r="B5" s="15" t="s">
        <v>3</v>
      </c>
      <c r="C5" s="15" t="s">
        <v>4</v>
      </c>
      <c r="D5" s="15" t="s">
        <v>5</v>
      </c>
      <c r="E5" s="15" t="s">
        <v>6</v>
      </c>
      <c r="F5" s="15" t="s">
        <v>7</v>
      </c>
      <c r="G5" s="15" t="s">
        <v>8</v>
      </c>
      <c r="H5" s="16"/>
      <c r="I5" s="2"/>
      <c r="J5" s="17"/>
      <c r="K5" s="17"/>
      <c r="L5" s="17"/>
      <c r="M5" s="17"/>
      <c r="N5" s="17"/>
      <c r="O5" s="17"/>
      <c r="P5" s="2"/>
      <c r="Q5" s="2"/>
      <c r="R5" s="2"/>
      <c r="S5" s="2"/>
      <c r="T5" s="2"/>
      <c r="U5" s="2"/>
      <c r="V5" s="2"/>
      <c r="W5" s="2"/>
      <c r="X5" s="2"/>
      <c r="Y5" s="2"/>
      <c r="Z5" s="2"/>
      <c r="AA5" s="2"/>
      <c r="AB5" s="2"/>
      <c r="AC5" s="2"/>
      <c r="AD5" s="2"/>
      <c r="AE5" s="2"/>
      <c r="AF5" s="2"/>
      <c r="AG5" s="2"/>
      <c r="AH5" s="2"/>
      <c r="AI5" s="2"/>
      <c r="AJ5" s="2"/>
      <c r="AK5" s="2"/>
      <c r="AL5" s="2"/>
      <c r="AM5" s="2"/>
      <c r="AN5" s="2"/>
      <c r="AO5" s="2"/>
      <c r="AP5" s="2"/>
    </row>
    <row r="6" customFormat="false" ht="15" hidden="false" customHeight="true" outlineLevel="0" collapsed="false">
      <c r="A6" s="14"/>
      <c r="B6" s="18" t="s">
        <v>9</v>
      </c>
      <c r="C6" s="19" t="s">
        <v>10</v>
      </c>
      <c r="D6" s="20" t="n">
        <v>45705</v>
      </c>
      <c r="E6" s="21" t="n">
        <v>4</v>
      </c>
      <c r="F6" s="1" t="n">
        <v>0</v>
      </c>
      <c r="G6" s="22" t="n">
        <f aca="false">IF(NOT(ISBLANK(D6)), SUM(E6:F6), 0)</f>
        <v>4</v>
      </c>
      <c r="H6" s="16"/>
      <c r="I6" s="2"/>
      <c r="J6" s="23"/>
      <c r="K6" s="23"/>
      <c r="L6" s="23"/>
      <c r="M6" s="23"/>
      <c r="N6" s="23"/>
      <c r="O6" s="24"/>
      <c r="P6" s="2"/>
      <c r="Q6" s="2"/>
      <c r="R6" s="2"/>
      <c r="S6" s="2"/>
      <c r="T6" s="2"/>
      <c r="U6" s="2"/>
      <c r="V6" s="2"/>
      <c r="W6" s="2"/>
      <c r="X6" s="2"/>
      <c r="Y6" s="2"/>
      <c r="Z6" s="2"/>
      <c r="AA6" s="2"/>
      <c r="AB6" s="2"/>
      <c r="AC6" s="2"/>
      <c r="AD6" s="2"/>
      <c r="AE6" s="2"/>
      <c r="AF6" s="2"/>
      <c r="AG6" s="2"/>
      <c r="AH6" s="2"/>
      <c r="AI6" s="2"/>
      <c r="AJ6" s="2"/>
      <c r="AK6" s="2"/>
      <c r="AL6" s="2"/>
      <c r="AM6" s="2"/>
      <c r="AN6" s="2"/>
      <c r="AO6" s="2"/>
      <c r="AP6" s="2"/>
    </row>
    <row r="7" customFormat="false" ht="15" hidden="false" customHeight="false" outlineLevel="0" collapsed="false">
      <c r="A7" s="14"/>
      <c r="B7" s="25" t="s">
        <v>11</v>
      </c>
      <c r="C7" s="19" t="s">
        <v>10</v>
      </c>
      <c r="D7" s="26" t="n">
        <v>45710</v>
      </c>
      <c r="E7" s="27" t="n">
        <v>12</v>
      </c>
      <c r="F7" s="28" t="n">
        <v>12</v>
      </c>
      <c r="G7" s="22" t="n">
        <f aca="false">IF(NOT(ISBLANK(D7)), SUM(E7:F7), 0)</f>
        <v>24</v>
      </c>
      <c r="H7" s="16"/>
      <c r="I7" s="29"/>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customFormat="false" ht="15" hidden="false" customHeight="false" outlineLevel="0" collapsed="false">
      <c r="A8" s="14"/>
      <c r="B8" s="25" t="s">
        <v>12</v>
      </c>
      <c r="C8" s="19" t="s">
        <v>10</v>
      </c>
      <c r="D8" s="26" t="n">
        <v>45756</v>
      </c>
      <c r="E8" s="27" t="n">
        <v>15</v>
      </c>
      <c r="F8" s="28" t="n">
        <v>17</v>
      </c>
      <c r="G8" s="22" t="n">
        <f aca="false">IF(NOT(ISBLANK(D8)), SUM(E8:F8), 0)</f>
        <v>32</v>
      </c>
      <c r="H8" s="16"/>
      <c r="I8" s="29"/>
      <c r="J8" s="14"/>
      <c r="K8" s="14"/>
      <c r="L8" s="14"/>
      <c r="M8" s="14"/>
      <c r="N8" s="14"/>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customFormat="false" ht="15" hidden="false" customHeight="false" outlineLevel="0" collapsed="false">
      <c r="A9" s="14"/>
      <c r="B9" s="30" t="s">
        <v>13</v>
      </c>
      <c r="C9" s="19" t="s">
        <v>10</v>
      </c>
      <c r="D9" s="26" t="n">
        <v>45798</v>
      </c>
      <c r="E9" s="27" t="n">
        <v>27</v>
      </c>
      <c r="F9" s="28" t="n">
        <v>27</v>
      </c>
      <c r="G9" s="22" t="n">
        <f aca="false">IF(NOT(ISBLANK(D9)), SUM(E9:F9), 0)</f>
        <v>54</v>
      </c>
      <c r="H9" s="16"/>
      <c r="I9" s="29"/>
      <c r="J9" s="14"/>
      <c r="K9" s="14"/>
      <c r="L9" s="14"/>
      <c r="M9" s="14"/>
      <c r="N9" s="14"/>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customFormat="false" ht="15" hidden="false" customHeight="false" outlineLevel="0" collapsed="false">
      <c r="A10" s="14"/>
      <c r="B10" s="30" t="s">
        <v>14</v>
      </c>
      <c r="C10" s="19" t="s">
        <v>10</v>
      </c>
      <c r="D10" s="26" t="n">
        <v>45826</v>
      </c>
      <c r="E10" s="27" t="n">
        <v>12</v>
      </c>
      <c r="F10" s="28" t="n">
        <v>12</v>
      </c>
      <c r="G10" s="22" t="n">
        <f aca="false">IF(NOT(ISBLANK(D10)), SUM(E10:F10), 0)</f>
        <v>24</v>
      </c>
      <c r="H10" s="16"/>
      <c r="I10" s="29"/>
      <c r="J10" s="14"/>
      <c r="K10" s="14"/>
      <c r="L10" s="14"/>
      <c r="M10" s="14"/>
      <c r="N10" s="14"/>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customFormat="false" ht="15" hidden="false" customHeight="false" outlineLevel="0" collapsed="false">
      <c r="A11" s="14"/>
      <c r="B11" s="30" t="s">
        <v>15</v>
      </c>
      <c r="C11" s="19" t="s">
        <v>10</v>
      </c>
      <c r="D11" s="26" t="n">
        <v>45882</v>
      </c>
      <c r="E11" s="27" t="n">
        <v>24</v>
      </c>
      <c r="F11" s="28" t="n">
        <v>22</v>
      </c>
      <c r="G11" s="22" t="n">
        <f aca="false">IF(NOT(ISBLANK(D11)), SUM(E11:F11), 0)</f>
        <v>46</v>
      </c>
      <c r="H11" s="16"/>
      <c r="I11" s="29"/>
      <c r="J11" s="14"/>
      <c r="K11" s="14"/>
      <c r="L11" s="14"/>
      <c r="M11" s="14"/>
      <c r="N11" s="14"/>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customFormat="false" ht="15" hidden="false" customHeight="false" outlineLevel="0" collapsed="false">
      <c r="A12" s="14"/>
      <c r="B12" s="30" t="s">
        <v>16</v>
      </c>
      <c r="C12" s="19" t="s">
        <v>10</v>
      </c>
      <c r="D12" s="26" t="n">
        <v>45903</v>
      </c>
      <c r="E12" s="27" t="n">
        <v>9</v>
      </c>
      <c r="F12" s="28" t="n">
        <v>12</v>
      </c>
      <c r="G12" s="22" t="n">
        <f aca="false">IF(NOT(ISBLANK(D12)), SUM(E12:F12), 0)</f>
        <v>21</v>
      </c>
      <c r="H12" s="16"/>
      <c r="I12" s="29"/>
      <c r="J12" s="14"/>
      <c r="K12" s="14"/>
      <c r="L12" s="14"/>
      <c r="M12" s="14"/>
      <c r="N12" s="14"/>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customFormat="false" ht="15" hidden="false" customHeight="false" outlineLevel="0" collapsed="false">
      <c r="A13" s="14"/>
      <c r="B13" s="30" t="s">
        <v>17</v>
      </c>
      <c r="C13" s="19" t="s">
        <v>10</v>
      </c>
      <c r="D13" s="26" t="n">
        <v>45980</v>
      </c>
      <c r="E13" s="27" t="n">
        <v>12</v>
      </c>
      <c r="F13" s="28" t="n">
        <v>12</v>
      </c>
      <c r="G13" s="22" t="n">
        <f aca="false">IF(NOT(ISBLANK(D13)), SUM(E13:F13), 0)</f>
        <v>24</v>
      </c>
      <c r="H13" s="16"/>
      <c r="I13" s="29"/>
      <c r="J13" s="14"/>
      <c r="K13" s="14"/>
      <c r="L13" s="14"/>
      <c r="M13" s="14"/>
      <c r="N13" s="14"/>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customFormat="false" ht="15" hidden="false" customHeight="false" outlineLevel="0" collapsed="false">
      <c r="A14" s="14"/>
      <c r="B14" s="30" t="s">
        <v>18</v>
      </c>
      <c r="C14" s="27"/>
      <c r="D14" s="27"/>
      <c r="E14" s="27" t="n">
        <v>21</v>
      </c>
      <c r="F14" s="28" t="n">
        <v>22</v>
      </c>
      <c r="G14" s="22" t="n">
        <f aca="false">IF(NOT(ISBLANK(D14)), SUM(E14:F14), 0)</f>
        <v>0</v>
      </c>
      <c r="H14" s="16"/>
      <c r="I14" s="29"/>
      <c r="J14" s="14"/>
      <c r="K14" s="14"/>
      <c r="L14" s="14"/>
      <c r="M14" s="14"/>
      <c r="N14" s="14"/>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customFormat="false" ht="15" hidden="false" customHeight="false" outlineLevel="0" collapsed="false">
      <c r="A15" s="14"/>
      <c r="B15" s="30" t="s">
        <v>19</v>
      </c>
      <c r="C15" s="27"/>
      <c r="D15" s="27"/>
      <c r="E15" s="27" t="n">
        <v>18</v>
      </c>
      <c r="F15" s="28" t="n">
        <v>12</v>
      </c>
      <c r="G15" s="22" t="n">
        <f aca="false">IF(NOT(ISBLANK(D15)), SUM(E15:F15), 0)</f>
        <v>0</v>
      </c>
      <c r="H15" s="16"/>
      <c r="I15" s="29"/>
      <c r="J15" s="14"/>
      <c r="K15" s="14"/>
      <c r="L15" s="14"/>
      <c r="M15" s="14"/>
      <c r="N15" s="14"/>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customFormat="false" ht="15" hidden="false" customHeight="false" outlineLevel="0" collapsed="false">
      <c r="A16" s="14"/>
      <c r="B16" s="30" t="s">
        <v>20</v>
      </c>
      <c r="C16" s="27"/>
      <c r="D16" s="27"/>
      <c r="E16" s="27" t="n">
        <v>15</v>
      </c>
      <c r="F16" s="28" t="n">
        <v>12</v>
      </c>
      <c r="G16" s="22" t="n">
        <f aca="false">IF(NOT(ISBLANK(D16)), SUM(E16:F16), 0)</f>
        <v>0</v>
      </c>
      <c r="H16" s="16"/>
      <c r="I16" s="29"/>
      <c r="J16" s="14"/>
      <c r="K16" s="14"/>
      <c r="L16" s="14"/>
      <c r="M16" s="14"/>
      <c r="N16" s="14"/>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customFormat="false" ht="15" hidden="false" customHeight="false" outlineLevel="0" collapsed="false">
      <c r="A17" s="14"/>
      <c r="B17" s="30" t="s">
        <v>21</v>
      </c>
      <c r="C17" s="27"/>
      <c r="D17" s="27"/>
      <c r="E17" s="27" t="n">
        <v>15</v>
      </c>
      <c r="F17" s="28" t="n">
        <v>12</v>
      </c>
      <c r="G17" s="22" t="n">
        <f aca="false">IF(NOT(ISBLANK(D17)), SUM(E17:F17), 0)</f>
        <v>0</v>
      </c>
      <c r="H17" s="16"/>
      <c r="I17" s="29"/>
      <c r="J17" s="17"/>
      <c r="K17" s="17"/>
      <c r="L17" s="17"/>
      <c r="M17" s="17"/>
      <c r="N17" s="17"/>
      <c r="O17" s="17"/>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customFormat="false" ht="15" hidden="false" customHeight="false" outlineLevel="0" collapsed="false">
      <c r="A18" s="14"/>
      <c r="B18" s="30" t="s">
        <v>22</v>
      </c>
      <c r="C18" s="27"/>
      <c r="D18" s="27"/>
      <c r="E18" s="27" t="n">
        <v>11</v>
      </c>
      <c r="F18" s="31" t="n">
        <v>0</v>
      </c>
      <c r="G18" s="22" t="n">
        <f aca="false">IF(NOT(ISBLANK(D18)), SUM(E18:F18), 0)</f>
        <v>0</v>
      </c>
      <c r="H18" s="16"/>
      <c r="I18" s="29"/>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customFormat="false" ht="16.5" hidden="false" customHeight="true" outlineLevel="0" collapsed="false">
      <c r="A19" s="14"/>
      <c r="B19" s="32" t="s">
        <v>23</v>
      </c>
      <c r="C19" s="33"/>
      <c r="D19" s="33"/>
      <c r="E19" s="34" t="n">
        <f aca="false">SUM(E6:E18)</f>
        <v>195</v>
      </c>
      <c r="F19" s="35" t="n">
        <f aca="false">SUM(F7:F18)</f>
        <v>172</v>
      </c>
      <c r="G19" s="36" t="n">
        <f aca="false">SUM(G6:G18)</f>
        <v>229</v>
      </c>
      <c r="H19" s="16"/>
      <c r="I19" s="29"/>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customFormat="false" ht="16.5" hidden="false" customHeight="true" outlineLevel="0" collapsed="false">
      <c r="A20" s="14"/>
      <c r="B20" s="2"/>
      <c r="C20" s="2"/>
      <c r="D20" s="2"/>
      <c r="E20" s="2"/>
      <c r="F20" s="2"/>
      <c r="G20" s="14"/>
      <c r="H20" s="37"/>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customFormat="false" ht="65.25" hidden="false" customHeight="true" outlineLevel="0" collapsed="false">
      <c r="A21" s="14"/>
      <c r="B21" s="15" t="s">
        <v>24</v>
      </c>
      <c r="C21" s="15" t="s">
        <v>25</v>
      </c>
      <c r="D21" s="15" t="s">
        <v>26</v>
      </c>
      <c r="E21" s="15" t="s">
        <v>27</v>
      </c>
      <c r="F21" s="15" t="s">
        <v>28</v>
      </c>
      <c r="G21" s="15" t="s">
        <v>8</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customFormat="false" ht="84" hidden="false" customHeight="true" outlineLevel="0" collapsed="false">
      <c r="A22" s="14"/>
      <c r="B22" s="27" t="s">
        <v>29</v>
      </c>
      <c r="C22" s="19" t="s">
        <v>10</v>
      </c>
      <c r="D22" s="26" t="n">
        <v>45797</v>
      </c>
      <c r="E22" s="19" t="n">
        <v>24</v>
      </c>
      <c r="F22" s="19"/>
      <c r="G22" s="19" t="n">
        <f aca="false">IF(NOT(ISBLANK(D22)), SUM(E22:F22), 0)</f>
        <v>24</v>
      </c>
      <c r="H22" s="38"/>
      <c r="I22" s="2"/>
      <c r="J22" s="17"/>
      <c r="K22" s="17"/>
      <c r="L22" s="17"/>
      <c r="M22" s="17"/>
      <c r="N22" s="17"/>
      <c r="O22" s="17"/>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customFormat="false" ht="16.5" hidden="false" customHeight="true" outlineLevel="0" collapsed="false">
      <c r="A23" s="14"/>
      <c r="B23" s="27" t="s">
        <v>30</v>
      </c>
      <c r="C23" s="19" t="s">
        <v>10</v>
      </c>
      <c r="D23" s="26" t="n">
        <v>45882</v>
      </c>
      <c r="E23" s="19" t="n">
        <v>24</v>
      </c>
      <c r="F23" s="19"/>
      <c r="G23" s="19" t="n">
        <f aca="false">IF(NOT(ISBLANK(D23)), SUM(E23:F23), 0)</f>
        <v>24</v>
      </c>
      <c r="H23" s="38"/>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customFormat="false" ht="16.5" hidden="false" customHeight="true" outlineLevel="0" collapsed="false">
      <c r="A24" s="14"/>
      <c r="B24" s="27" t="s">
        <v>31</v>
      </c>
      <c r="C24" s="19" t="s">
        <v>10</v>
      </c>
      <c r="D24" s="26" t="n">
        <v>45994</v>
      </c>
      <c r="E24" s="19" t="n">
        <v>24</v>
      </c>
      <c r="F24" s="19"/>
      <c r="G24" s="19" t="n">
        <f aca="false">IF(NOT(ISBLANK(D24)), SUM(E24:F24), 0)</f>
        <v>24</v>
      </c>
      <c r="H24" s="38"/>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customFormat="false" ht="16.5" hidden="false" customHeight="true" outlineLevel="0" collapsed="false">
      <c r="A25" s="14"/>
      <c r="B25" s="27" t="s">
        <v>32</v>
      </c>
      <c r="C25" s="19"/>
      <c r="D25" s="19"/>
      <c r="E25" s="19" t="n">
        <v>24</v>
      </c>
      <c r="F25" s="19"/>
      <c r="G25" s="19" t="n">
        <f aca="false">IF(NOT(ISBLANK(D25)), SUM(E25:F25), 0)</f>
        <v>0</v>
      </c>
      <c r="H25" s="38"/>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customFormat="false" ht="16.5" hidden="false" customHeight="true" outlineLevel="0" collapsed="false">
      <c r="A26" s="14"/>
      <c r="B26" s="27" t="s">
        <v>33</v>
      </c>
      <c r="C26" s="19"/>
      <c r="D26" s="19"/>
      <c r="E26" s="19" t="n">
        <v>24</v>
      </c>
      <c r="F26" s="19"/>
      <c r="G26" s="19" t="n">
        <f aca="false">IF(NOT(ISBLANK(D26)), SUM(E26:F26), 0)</f>
        <v>0</v>
      </c>
      <c r="H26" s="38"/>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customFormat="false" ht="16.5" hidden="false" customHeight="true" outlineLevel="0" collapsed="false">
      <c r="A27" s="14"/>
      <c r="B27" s="27"/>
      <c r="C27" s="27"/>
      <c r="D27" s="27"/>
      <c r="E27" s="27"/>
      <c r="F27" s="27"/>
      <c r="G27" s="27"/>
      <c r="H27" s="38"/>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customFormat="false" ht="16.5" hidden="false" customHeight="true" outlineLevel="0" collapsed="false">
      <c r="A28" s="14"/>
      <c r="B28" s="39" t="s">
        <v>8</v>
      </c>
      <c r="C28" s="27"/>
      <c r="D28" s="27"/>
      <c r="E28" s="40" t="n">
        <f aca="false">SUM(E22:E27)</f>
        <v>120</v>
      </c>
      <c r="F28" s="40" t="n">
        <f aca="false">SUM(F22:F26)</f>
        <v>0</v>
      </c>
      <c r="G28" s="40" t="n">
        <f aca="false">SUM(G22:H27)</f>
        <v>72</v>
      </c>
      <c r="H28" s="38"/>
      <c r="I28" s="29"/>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customFormat="false" ht="25.5" hidden="false" customHeight="true" outlineLevel="0" collapsed="false">
      <c r="A29" s="2"/>
      <c r="B29" s="41"/>
      <c r="C29" s="41"/>
      <c r="D29" s="41"/>
      <c r="E29" s="41"/>
      <c r="F29" s="41"/>
      <c r="G29" s="41"/>
      <c r="H29" s="41"/>
      <c r="I29" s="2"/>
      <c r="J29" s="17"/>
      <c r="K29" s="17"/>
      <c r="L29" s="17"/>
      <c r="M29" s="17"/>
      <c r="N29" s="17"/>
      <c r="O29" s="17"/>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customFormat="false" ht="33.75" hidden="false" customHeight="true" outlineLevel="0" collapsed="false">
      <c r="A30" s="2"/>
      <c r="B30" s="42" t="s">
        <v>34</v>
      </c>
      <c r="F30" s="3"/>
      <c r="G30" s="2"/>
      <c r="H30" s="2"/>
      <c r="I30" s="2"/>
      <c r="J30" s="43"/>
      <c r="K30" s="43"/>
      <c r="L30" s="43"/>
      <c r="M30" s="43"/>
      <c r="N30" s="43"/>
      <c r="O30" s="43"/>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customFormat="false" ht="28.5" hidden="false" customHeight="true" outlineLevel="0" collapsed="false">
      <c r="A31" s="2"/>
      <c r="B31" s="44" t="s">
        <v>35</v>
      </c>
      <c r="C31" s="44"/>
      <c r="D31" s="44"/>
      <c r="E31" s="44"/>
      <c r="F31" s="44"/>
      <c r="G31" s="2"/>
      <c r="H31" s="2"/>
      <c r="I31" s="2"/>
      <c r="J31" s="45"/>
      <c r="K31" s="45"/>
      <c r="L31" s="45"/>
      <c r="M31" s="45"/>
      <c r="N31" s="45"/>
      <c r="O31" s="46"/>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customFormat="false" ht="28.5" hidden="false" customHeight="true" outlineLevel="0" collapsed="false">
      <c r="A32" s="2"/>
      <c r="B32" s="1" t="s">
        <v>36</v>
      </c>
      <c r="F32" s="3"/>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customFormat="false" ht="16.5" hidden="false" customHeight="true" outlineLevel="0" collapsed="false">
      <c r="A33" s="14"/>
      <c r="B33" s="47"/>
      <c r="C33" s="48"/>
      <c r="D33" s="48"/>
      <c r="E33" s="49"/>
      <c r="F33" s="49"/>
      <c r="G33" s="49"/>
      <c r="H33" s="50"/>
      <c r="I33" s="29"/>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customFormat="false" ht="16.5" hidden="false" customHeight="true" outlineLevel="0" collapsed="false">
      <c r="A34" s="14"/>
      <c r="B34" s="51"/>
      <c r="C34" s="52"/>
      <c r="D34" s="52"/>
      <c r="E34" s="52"/>
      <c r="F34" s="51"/>
      <c r="G34" s="48"/>
      <c r="H34" s="50"/>
      <c r="I34" s="29"/>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customFormat="false" ht="60" hidden="false" customHeight="true" outlineLevel="0" collapsed="false">
      <c r="A35" s="14"/>
      <c r="B35" s="15" t="s">
        <v>37</v>
      </c>
      <c r="C35" s="15" t="s">
        <v>38</v>
      </c>
      <c r="D35" s="53" t="s">
        <v>39</v>
      </c>
      <c r="E35" s="53" t="s">
        <v>40</v>
      </c>
      <c r="F35" s="53"/>
      <c r="G35" s="53" t="s">
        <v>27</v>
      </c>
      <c r="H35" s="54" t="s">
        <v>41</v>
      </c>
      <c r="I35" s="29"/>
      <c r="J35" s="17"/>
      <c r="K35" s="17"/>
      <c r="L35" s="17"/>
      <c r="M35" s="17"/>
      <c r="N35" s="17"/>
      <c r="O35" s="17"/>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customFormat="false" ht="17.25" hidden="false" customHeight="true" outlineLevel="0" collapsed="false">
      <c r="A36" s="55"/>
      <c r="B36" s="56" t="s">
        <v>42</v>
      </c>
      <c r="C36" s="57"/>
      <c r="D36" s="58" t="n">
        <v>45765</v>
      </c>
      <c r="E36" s="19" t="s">
        <v>43</v>
      </c>
      <c r="F36" s="19"/>
      <c r="G36" s="59" t="n">
        <v>8</v>
      </c>
      <c r="H36" s="54"/>
      <c r="I36" s="29"/>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customFormat="false" ht="17.25" hidden="false" customHeight="true" outlineLevel="0" collapsed="false">
      <c r="A37" s="55"/>
      <c r="B37" s="56" t="s">
        <v>44</v>
      </c>
      <c r="C37" s="60"/>
      <c r="D37" s="61" t="n">
        <v>45804</v>
      </c>
      <c r="E37" s="62" t="s">
        <v>45</v>
      </c>
      <c r="F37" s="62"/>
      <c r="G37" s="59" t="n">
        <v>2</v>
      </c>
      <c r="H37" s="54"/>
      <c r="I37" s="63"/>
      <c r="J37" s="64"/>
      <c r="K37" s="64"/>
      <c r="L37" s="64"/>
      <c r="M37" s="64"/>
      <c r="N37" s="64"/>
      <c r="O37" s="64"/>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customFormat="false" ht="17.25" hidden="false" customHeight="true" outlineLevel="0" collapsed="false">
      <c r="A38" s="14"/>
      <c r="B38" s="56" t="s">
        <v>46</v>
      </c>
      <c r="C38" s="57"/>
      <c r="D38" s="65" t="n">
        <v>45866</v>
      </c>
      <c r="E38" s="62" t="s">
        <v>47</v>
      </c>
      <c r="F38" s="62"/>
      <c r="G38" s="59" t="n">
        <v>0.5</v>
      </c>
      <c r="H38" s="54"/>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customFormat="false" ht="17.25" hidden="false" customHeight="true" outlineLevel="0" collapsed="false">
      <c r="A39" s="14"/>
      <c r="B39" s="56" t="s">
        <v>48</v>
      </c>
      <c r="C39" s="57"/>
      <c r="D39" s="58" t="n">
        <v>45931</v>
      </c>
      <c r="E39" s="19" t="s">
        <v>49</v>
      </c>
      <c r="F39" s="19"/>
      <c r="G39" s="59" t="n">
        <v>1.5</v>
      </c>
      <c r="H39" s="54"/>
      <c r="I39" s="2"/>
      <c r="J39" s="17"/>
      <c r="K39" s="17"/>
      <c r="L39" s="17"/>
      <c r="M39" s="17"/>
      <c r="N39" s="17"/>
      <c r="O39" s="17"/>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customFormat="false" ht="38.9" hidden="false" customHeight="true" outlineLevel="0" collapsed="false">
      <c r="A40" s="14"/>
      <c r="B40" s="30" t="s">
        <v>50</v>
      </c>
      <c r="C40" s="57"/>
      <c r="D40" s="58" t="n">
        <v>45918</v>
      </c>
      <c r="E40" s="19"/>
      <c r="F40" s="19"/>
      <c r="G40" s="59" t="n">
        <v>8</v>
      </c>
      <c r="H40" s="54"/>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customFormat="false" ht="17.25" hidden="false" customHeight="true" outlineLevel="0" collapsed="false">
      <c r="A41" s="14"/>
      <c r="B41" s="56" t="s">
        <v>51</v>
      </c>
      <c r="C41" s="57"/>
      <c r="D41" s="26" t="n">
        <v>45982</v>
      </c>
      <c r="E41" s="19" t="s">
        <v>49</v>
      </c>
      <c r="F41" s="19"/>
      <c r="G41" s="59" t="n">
        <v>1.5</v>
      </c>
      <c r="H41" s="54"/>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customFormat="false" ht="17.25" hidden="false" customHeight="true" outlineLevel="0" collapsed="false">
      <c r="A42" s="14"/>
      <c r="B42" s="56" t="s">
        <v>52</v>
      </c>
      <c r="C42" s="57"/>
      <c r="D42" s="26" t="n">
        <v>45989</v>
      </c>
      <c r="E42" s="19" t="s">
        <v>53</v>
      </c>
      <c r="F42" s="19"/>
      <c r="G42" s="59" t="n">
        <v>1</v>
      </c>
      <c r="H42" s="54"/>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customFormat="false" ht="17.25" hidden="false" customHeight="true" outlineLevel="0" collapsed="false">
      <c r="A43" s="14"/>
      <c r="B43" s="56" t="s">
        <v>54</v>
      </c>
      <c r="C43" s="60"/>
      <c r="D43" s="26" t="n">
        <v>46010</v>
      </c>
      <c r="E43" s="19" t="s">
        <v>55</v>
      </c>
      <c r="F43" s="19"/>
      <c r="G43" s="59" t="n">
        <v>2.5</v>
      </c>
      <c r="H43" s="54"/>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customFormat="false" ht="17.25" hidden="false" customHeight="true" outlineLevel="0" collapsed="false">
      <c r="A44" s="14"/>
      <c r="B44" s="56" t="s">
        <v>56</v>
      </c>
      <c r="C44" s="60"/>
      <c r="D44" s="26" t="n">
        <v>46034</v>
      </c>
      <c r="E44" s="19" t="s">
        <v>55</v>
      </c>
      <c r="F44" s="19"/>
      <c r="G44" s="66" t="n">
        <v>3</v>
      </c>
      <c r="H44" s="54"/>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customFormat="false" ht="17.25" hidden="false" customHeight="true" outlineLevel="0" collapsed="false">
      <c r="A45" s="14"/>
      <c r="B45" s="56" t="s">
        <v>57</v>
      </c>
      <c r="C45" s="60"/>
      <c r="D45" s="26" t="n">
        <v>46042</v>
      </c>
      <c r="E45" s="19" t="s">
        <v>55</v>
      </c>
      <c r="F45" s="19"/>
      <c r="G45" s="59" t="n">
        <v>1.5</v>
      </c>
      <c r="H45" s="54"/>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customFormat="false" ht="17.25" hidden="false" customHeight="true" outlineLevel="0" collapsed="false">
      <c r="A46" s="14"/>
      <c r="B46" s="30"/>
      <c r="C46" s="57"/>
      <c r="D46" s="67"/>
      <c r="E46" s="19"/>
      <c r="F46" s="19"/>
      <c r="G46" s="68"/>
      <c r="H46" s="54"/>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customFormat="false" ht="17.25" hidden="false" customHeight="true" outlineLevel="0" collapsed="false">
      <c r="A47" s="14"/>
      <c r="B47" s="30"/>
      <c r="C47" s="57"/>
      <c r="D47" s="67"/>
      <c r="E47" s="19"/>
      <c r="F47" s="19"/>
      <c r="G47" s="68"/>
      <c r="H47" s="54"/>
      <c r="I47" s="69"/>
      <c r="J47" s="7"/>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customFormat="false" ht="17.25" hidden="false" customHeight="true" outlineLevel="0" collapsed="false">
      <c r="A48" s="14"/>
      <c r="B48" s="30"/>
      <c r="C48" s="57"/>
      <c r="D48" s="67"/>
      <c r="E48" s="19"/>
      <c r="F48" s="19"/>
      <c r="G48" s="70"/>
      <c r="H48" s="54"/>
      <c r="I48" s="69"/>
      <c r="J48" s="7"/>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customFormat="false" ht="17.25" hidden="false" customHeight="true" outlineLevel="0" collapsed="false">
      <c r="A49" s="14"/>
      <c r="B49" s="71"/>
      <c r="C49" s="57"/>
      <c r="D49" s="27"/>
      <c r="E49" s="19"/>
      <c r="F49" s="19"/>
      <c r="G49" s="70"/>
      <c r="H49" s="54"/>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customFormat="false" ht="17.25" hidden="false" customHeight="true" outlineLevel="0" collapsed="false">
      <c r="A50" s="72"/>
      <c r="B50" s="30"/>
      <c r="C50" s="57"/>
      <c r="D50" s="27"/>
      <c r="E50" s="19"/>
      <c r="F50" s="19"/>
      <c r="G50" s="70"/>
      <c r="H50" s="54"/>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customFormat="false" ht="17.25" hidden="false" customHeight="true" outlineLevel="0" collapsed="false">
      <c r="A51" s="14"/>
      <c r="B51" s="30"/>
      <c r="C51" s="57"/>
      <c r="D51" s="27"/>
      <c r="E51" s="19"/>
      <c r="F51" s="19"/>
      <c r="G51" s="70"/>
      <c r="H51" s="54"/>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customFormat="false" ht="17.25" hidden="false" customHeight="true" outlineLevel="0" collapsed="false">
      <c r="A52" s="14"/>
      <c r="B52" s="30"/>
      <c r="C52" s="57"/>
      <c r="D52" s="27"/>
      <c r="E52" s="19"/>
      <c r="F52" s="19"/>
      <c r="G52" s="70"/>
      <c r="H52" s="54"/>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customFormat="false" ht="17.25" hidden="false" customHeight="true" outlineLevel="0" collapsed="false">
      <c r="A53" s="14"/>
      <c r="B53" s="30"/>
      <c r="C53" s="57"/>
      <c r="D53" s="27"/>
      <c r="E53" s="19"/>
      <c r="F53" s="19"/>
      <c r="G53" s="70"/>
      <c r="H53" s="54"/>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customFormat="false" ht="17.25" hidden="false" customHeight="true" outlineLevel="0" collapsed="false">
      <c r="A54" s="14"/>
      <c r="B54" s="30"/>
      <c r="C54" s="57"/>
      <c r="D54" s="27"/>
      <c r="E54" s="19"/>
      <c r="F54" s="19"/>
      <c r="G54" s="70"/>
      <c r="H54" s="54"/>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customFormat="false" ht="17.25" hidden="false" customHeight="true" outlineLevel="0" collapsed="false">
      <c r="A55" s="14"/>
      <c r="B55" s="27"/>
      <c r="C55" s="57"/>
      <c r="D55" s="27"/>
      <c r="E55" s="19"/>
      <c r="F55" s="19"/>
      <c r="G55" s="70"/>
      <c r="H55" s="54"/>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customFormat="false" ht="17.25" hidden="false" customHeight="true" outlineLevel="0" collapsed="false">
      <c r="A56" s="14"/>
      <c r="B56" s="27"/>
      <c r="C56" s="57"/>
      <c r="D56" s="27"/>
      <c r="E56" s="19"/>
      <c r="F56" s="19"/>
      <c r="G56" s="70"/>
      <c r="H56" s="54"/>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customFormat="false" ht="17.25" hidden="false" customHeight="true" outlineLevel="0" collapsed="false">
      <c r="A57" s="14"/>
      <c r="B57" s="27"/>
      <c r="C57" s="57"/>
      <c r="D57" s="27"/>
      <c r="E57" s="19"/>
      <c r="F57" s="19"/>
      <c r="G57" s="70"/>
      <c r="H57" s="54"/>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customFormat="false" ht="17.25" hidden="false" customHeight="true" outlineLevel="0" collapsed="false">
      <c r="A58" s="14"/>
      <c r="B58" s="27"/>
      <c r="C58" s="57"/>
      <c r="D58" s="27"/>
      <c r="E58" s="19"/>
      <c r="F58" s="19"/>
      <c r="G58" s="70"/>
      <c r="H58" s="54"/>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customFormat="false" ht="17.25" hidden="false" customHeight="true" outlineLevel="0" collapsed="false">
      <c r="A59" s="14"/>
      <c r="B59" s="27"/>
      <c r="C59" s="57"/>
      <c r="D59" s="27"/>
      <c r="E59" s="19"/>
      <c r="F59" s="19"/>
      <c r="G59" s="70"/>
      <c r="H59" s="54"/>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customFormat="false" ht="17.25" hidden="false" customHeight="true" outlineLevel="0" collapsed="false">
      <c r="A60" s="14"/>
      <c r="B60" s="27"/>
      <c r="C60" s="57"/>
      <c r="D60" s="27"/>
      <c r="E60" s="19"/>
      <c r="F60" s="19"/>
      <c r="G60" s="70"/>
      <c r="H60" s="54"/>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customFormat="false" ht="15" hidden="false" customHeight="false" outlineLevel="0" collapsed="false">
      <c r="A61" s="14"/>
      <c r="B61" s="40" t="s">
        <v>8</v>
      </c>
      <c r="C61" s="40"/>
      <c r="D61" s="73"/>
      <c r="E61" s="74"/>
      <c r="F61" s="74"/>
      <c r="G61" s="36" t="n">
        <f aca="false">SUM(G36:G60)</f>
        <v>29.5</v>
      </c>
      <c r="H61" s="54"/>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customFormat="false" ht="15" hidden="false" customHeight="false" outlineLevel="0" collapsed="false">
      <c r="A62" s="14"/>
      <c r="B62" s="27"/>
      <c r="C62" s="27"/>
      <c r="D62" s="75"/>
      <c r="E62" s="3"/>
      <c r="F62" s="3"/>
      <c r="G62" s="76"/>
      <c r="H62" s="77"/>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customFormat="false" ht="15" hidden="false" customHeight="false" outlineLevel="0" collapsed="false">
      <c r="A63" s="14"/>
      <c r="B63" s="78" t="s">
        <v>58</v>
      </c>
      <c r="C63" s="78"/>
      <c r="D63" s="79"/>
      <c r="E63" s="80"/>
      <c r="F63" s="80"/>
      <c r="G63" s="81" t="n">
        <f aca="false">G61+G19+G28+G62</f>
        <v>330.5</v>
      </c>
      <c r="H63" s="8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customFormat="false" ht="15" hidden="false" customHeight="false" outlineLevel="0" collapsed="false">
      <c r="A64" s="14"/>
      <c r="B64" s="2"/>
      <c r="C64" s="2"/>
      <c r="D64" s="2"/>
      <c r="E64" s="2"/>
      <c r="F64" s="2"/>
      <c r="G64" s="2"/>
      <c r="H64" s="69"/>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customFormat="false" ht="15" hidden="false" customHeight="false" outlineLevel="0" collapsed="false">
      <c r="A65" s="14"/>
      <c r="B65" s="3"/>
      <c r="D65" s="2"/>
      <c r="F65" s="2"/>
      <c r="G65" s="2"/>
      <c r="H65" s="7"/>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customFormat="false" ht="15" hidden="false" customHeight="false" outlineLevel="0" collapsed="false">
      <c r="A66" s="14"/>
      <c r="B66" s="27" t="s">
        <v>59</v>
      </c>
      <c r="C66" s="27" t="n">
        <v>359</v>
      </c>
      <c r="D66" s="2"/>
      <c r="F66" s="2"/>
      <c r="G66" s="2"/>
      <c r="H66" s="7"/>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customFormat="false" ht="15" hidden="false" customHeight="false" outlineLevel="0" collapsed="false">
      <c r="A67" s="14"/>
      <c r="B67" s="27" t="s">
        <v>60</v>
      </c>
      <c r="C67" s="27" t="n">
        <f aca="false">G63</f>
        <v>330.5</v>
      </c>
      <c r="D67" s="2"/>
      <c r="F67" s="2"/>
      <c r="G67" s="2"/>
      <c r="H67" s="7"/>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customFormat="false" ht="15" hidden="false" customHeight="false" outlineLevel="0" collapsed="false">
      <c r="A68" s="14"/>
      <c r="B68" s="27" t="s">
        <v>61</v>
      </c>
      <c r="C68" s="40" t="n">
        <f aca="false">C66-C67</f>
        <v>28.5</v>
      </c>
      <c r="D68" s="2"/>
      <c r="F68" s="2"/>
      <c r="G68" s="2"/>
      <c r="H68" s="7"/>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customFormat="false" ht="15" hidden="false" customHeight="false" outlineLevel="0" collapsed="false">
      <c r="A69" s="14"/>
      <c r="B69" s="2"/>
      <c r="D69" s="2"/>
      <c r="F69" s="2"/>
      <c r="G69" s="2"/>
      <c r="H69" s="7"/>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customFormat="false" ht="15" hidden="false" customHeight="false" outlineLevel="0" collapsed="false">
      <c r="A70" s="14"/>
      <c r="B70" s="2"/>
      <c r="D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customFormat="false" ht="15" hidden="false" customHeight="false" outlineLevel="0" collapsed="false">
      <c r="A71" s="14"/>
      <c r="B71" s="2"/>
      <c r="D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customFormat="false" ht="15" hidden="false" customHeight="false" outlineLevel="0" collapsed="false">
      <c r="A72" s="14"/>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customFormat="false" ht="15" hidden="false" customHeight="false" outlineLevel="0" collapsed="false">
      <c r="A73" s="14"/>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customFormat="false" ht="15" hidden="false" customHeight="false" outlineLevel="0" collapsed="false">
      <c r="A74" s="14"/>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customFormat="false" ht="15" hidden="false" customHeight="false" outlineLevel="0" collapsed="false">
      <c r="A75" s="14"/>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customFormat="false" ht="15" hidden="false" customHeight="false" outlineLevel="0" collapsed="false">
      <c r="A76" s="14"/>
      <c r="B76" s="2"/>
      <c r="C76" s="2"/>
      <c r="D76" s="2"/>
      <c r="E76" s="2"/>
      <c r="F76" s="2"/>
      <c r="G76" s="2"/>
      <c r="H76" s="2"/>
      <c r="I76" s="29"/>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customFormat="false" ht="15" hidden="false" customHeight="false" outlineLevel="0" collapsed="false">
      <c r="A77" s="14"/>
      <c r="B77" s="2"/>
      <c r="C77" s="2"/>
      <c r="D77" s="2"/>
      <c r="E77" s="2"/>
      <c r="F77" s="2"/>
      <c r="G77" s="2"/>
      <c r="H77" s="2"/>
      <c r="I77" s="63"/>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customFormat="false" ht="15" hidden="false" customHeight="false" outlineLevel="0" collapsed="false">
      <c r="A78" s="2"/>
      <c r="B78" s="2"/>
      <c r="C78" s="2"/>
      <c r="D78" s="2"/>
      <c r="E78" s="2"/>
      <c r="F78" s="2"/>
      <c r="G78" s="2"/>
      <c r="H78" s="2"/>
      <c r="I78" s="63"/>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customFormat="false" ht="15" hidden="false" customHeight="fals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customFormat="false" ht="15" hidden="false" customHeight="fals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customFormat="false" ht="15" hidden="false" customHeight="fals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customFormat="false" ht="15" hidden="false" customHeight="fals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customFormat="false" ht="15" hidden="false" customHeight="fals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customFormat="false" ht="15" hidden="false" customHeight="fals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customFormat="false" ht="15" hidden="false" customHeight="fals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customFormat="false" ht="15" hidden="false" customHeight="fals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customFormat="false" ht="15" hidden="false" customHeight="fals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customFormat="false" ht="15" hidden="false" customHeight="fals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customFormat="false" ht="15" hidden="false" customHeight="fals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customFormat="false" ht="15" hidden="false" customHeight="fals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customFormat="false" ht="15" hidden="false" customHeight="fals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customFormat="false" ht="15" hidden="false" customHeight="fals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customFormat="false" ht="15" hidden="false" customHeight="fals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customFormat="false" ht="15" hidden="false" customHeight="fals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customFormat="false" ht="15" hidden="false" customHeight="fals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customFormat="false" ht="15" hidden="false" customHeight="fals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customFormat="false" ht="15" hidden="false" customHeight="fals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customFormat="false" ht="15" hidden="false" customHeight="fals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customFormat="false" ht="15" hidden="false" customHeight="fals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customFormat="false" ht="15" hidden="false" customHeight="fals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customFormat="false" ht="15" hidden="false" customHeight="fals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customFormat="false" ht="15" hidden="false" customHeight="fals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customFormat="false" ht="15" hidden="false" customHeight="false" outlineLevel="0" collapsed="false">
      <c r="A103" s="14"/>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customFormat="false" ht="15" hidden="false" customHeight="false" outlineLevel="0" collapsed="false">
      <c r="A104" s="14"/>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customFormat="false" ht="15" hidden="false" customHeight="false" outlineLevel="0" collapsed="false">
      <c r="A105" s="14"/>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customFormat="false" ht="15" hidden="false" customHeight="false" outlineLevel="0" collapsed="false">
      <c r="A106" s="14"/>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customFormat="false" ht="15" hidden="false" customHeight="false" outlineLevel="0" collapsed="false">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customFormat="false" ht="15" hidden="false" customHeight="false" outlineLevel="0" collapsed="false">
      <c r="A108" s="29"/>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customFormat="false" ht="15" hidden="false" customHeight="fals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customFormat="false" ht="15" hidden="false" customHeight="fals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customFormat="false" ht="15" hidden="false" customHeight="fals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customFormat="false" ht="15" hidden="false" customHeight="fals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customFormat="false" ht="15" hidden="false" customHeight="fals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customFormat="false" ht="15" hidden="false" customHeight="fals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customFormat="false" ht="15" hidden="false" customHeight="fals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customFormat="false" ht="15" hidden="false" customHeight="fals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customFormat="false" ht="15" hidden="false" customHeight="fals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customFormat="false" ht="15" hidden="false" customHeight="fals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customFormat="false" ht="15" hidden="false" customHeight="fals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customFormat="false" ht="15" hidden="false" customHeight="fals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customFormat="false" ht="15" hidden="false" customHeight="fals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customFormat="false" ht="15" hidden="false" customHeight="fals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customFormat="false" ht="15" hidden="false" customHeight="fals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customFormat="false" ht="15" hidden="false" customHeight="fals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customFormat="false" ht="15" hidden="false" customHeight="fals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customFormat="false" ht="15" hidden="false" customHeight="fals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customFormat="false" ht="15" hidden="false" customHeight="fals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customFormat="false" ht="15" hidden="false" customHeight="fals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customFormat="false" ht="15" hidden="false" customHeight="fals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customFormat="false" ht="15" hidden="false" customHeight="fals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customFormat="false" ht="15" hidden="false" customHeight="fals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customFormat="false" ht="15" hidden="false" customHeight="fals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customFormat="false" ht="15" hidden="false" customHeight="fals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customFormat="false" ht="15" hidden="false" customHeight="fals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customFormat="false" ht="15" hidden="false" customHeight="fals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customFormat="false" ht="15" hidden="false" customHeight="fals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customFormat="false" ht="15" hidden="false" customHeight="fals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customFormat="false" ht="15" hidden="false" customHeight="fals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customFormat="false" ht="15" hidden="false" customHeight="fals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customFormat="false" ht="15" hidden="false" customHeight="fals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customFormat="false" ht="15" hidden="false" customHeight="fals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customFormat="false" ht="15" hidden="false" customHeight="fals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customFormat="false" ht="15" hidden="false" customHeight="false" outlineLevel="0" collapsed="false">
      <c r="A143" s="2"/>
      <c r="B143" s="2"/>
      <c r="C143" s="2"/>
      <c r="D143" s="2"/>
      <c r="E143" s="2"/>
      <c r="F143" s="2"/>
      <c r="G143" s="2"/>
      <c r="H143" s="2"/>
      <c r="I143" s="2"/>
      <c r="J143" s="2"/>
      <c r="K143" s="2"/>
      <c r="L143" s="2"/>
      <c r="M143" s="2"/>
      <c r="N143" s="2"/>
      <c r="O143" s="2"/>
      <c r="P143" s="2"/>
      <c r="Q143" s="2"/>
      <c r="R143" s="2"/>
    </row>
    <row r="144" customFormat="false" ht="15" hidden="false" customHeight="false" outlineLevel="0" collapsed="false">
      <c r="A144" s="2"/>
      <c r="B144" s="2"/>
      <c r="C144" s="2"/>
      <c r="D144" s="2"/>
      <c r="E144" s="2"/>
      <c r="F144" s="2"/>
      <c r="G144" s="2"/>
      <c r="H144" s="2"/>
      <c r="I144" s="2"/>
      <c r="J144" s="2"/>
      <c r="K144" s="2"/>
      <c r="L144" s="2"/>
      <c r="M144" s="2"/>
      <c r="N144" s="2"/>
      <c r="O144" s="2"/>
      <c r="P144" s="2"/>
      <c r="Q144" s="2"/>
      <c r="R144" s="2"/>
    </row>
    <row r="145" customFormat="false" ht="15" hidden="false" customHeight="false" outlineLevel="0" collapsed="false">
      <c r="A145" s="2"/>
      <c r="B145" s="2"/>
      <c r="C145" s="2"/>
      <c r="D145" s="2"/>
      <c r="E145" s="2"/>
      <c r="F145" s="2"/>
      <c r="G145" s="2"/>
      <c r="H145" s="2"/>
      <c r="I145" s="2"/>
      <c r="J145" s="2"/>
      <c r="K145" s="2"/>
      <c r="L145" s="2"/>
      <c r="M145" s="2"/>
      <c r="N145" s="2"/>
      <c r="O145" s="2"/>
      <c r="P145" s="2"/>
      <c r="Q145" s="2"/>
      <c r="R145" s="2"/>
    </row>
    <row r="146" customFormat="false" ht="15" hidden="false" customHeight="false" outlineLevel="0" collapsed="false">
      <c r="A146" s="2"/>
      <c r="B146" s="2"/>
      <c r="C146" s="2"/>
      <c r="D146" s="2"/>
      <c r="E146" s="2"/>
      <c r="F146" s="2"/>
      <c r="G146" s="2"/>
      <c r="H146" s="2"/>
      <c r="I146" s="2"/>
      <c r="J146" s="2"/>
      <c r="K146" s="2"/>
      <c r="L146" s="2"/>
      <c r="M146" s="2"/>
      <c r="N146" s="2"/>
      <c r="O146" s="2"/>
      <c r="P146" s="2"/>
      <c r="Q146" s="2"/>
      <c r="R146" s="2"/>
    </row>
    <row r="147" customFormat="false" ht="15" hidden="false" customHeight="false" outlineLevel="0" collapsed="false">
      <c r="A147" s="2"/>
      <c r="B147" s="2"/>
      <c r="C147" s="2"/>
      <c r="D147" s="2"/>
      <c r="E147" s="2"/>
      <c r="F147" s="2"/>
      <c r="G147" s="2"/>
      <c r="H147" s="2"/>
      <c r="I147" s="2"/>
      <c r="J147" s="2"/>
      <c r="K147" s="2"/>
      <c r="L147" s="2"/>
      <c r="M147" s="2"/>
      <c r="N147" s="2"/>
      <c r="O147" s="2"/>
      <c r="P147" s="2"/>
      <c r="Q147" s="2"/>
      <c r="R147" s="2"/>
    </row>
    <row r="148" customFormat="false" ht="15" hidden="false" customHeight="false" outlineLevel="0" collapsed="false">
      <c r="A148" s="2"/>
      <c r="B148" s="2"/>
      <c r="C148" s="2"/>
      <c r="D148" s="2"/>
      <c r="E148" s="2"/>
      <c r="F148" s="2"/>
      <c r="G148" s="2"/>
      <c r="H148" s="2"/>
      <c r="I148" s="2"/>
      <c r="J148" s="2"/>
      <c r="K148" s="2"/>
      <c r="L148" s="2"/>
      <c r="M148" s="2"/>
      <c r="N148" s="2"/>
      <c r="O148" s="2"/>
      <c r="P148" s="2"/>
      <c r="Q148" s="2"/>
      <c r="R148" s="2"/>
    </row>
    <row r="149" customFormat="false" ht="15" hidden="false" customHeight="false" outlineLevel="0" collapsed="false">
      <c r="A149" s="2"/>
      <c r="B149" s="2"/>
      <c r="C149" s="2"/>
      <c r="D149" s="2"/>
      <c r="E149" s="2"/>
      <c r="F149" s="2"/>
      <c r="G149" s="2"/>
      <c r="H149" s="2"/>
      <c r="I149" s="2"/>
      <c r="J149" s="2"/>
      <c r="K149" s="2"/>
      <c r="L149" s="2"/>
      <c r="M149" s="2"/>
      <c r="N149" s="2"/>
      <c r="O149" s="2"/>
      <c r="P149" s="2"/>
      <c r="Q149" s="2"/>
      <c r="R149" s="2"/>
    </row>
    <row r="150" customFormat="false" ht="15" hidden="false" customHeight="false" outlineLevel="0" collapsed="false">
      <c r="A150" s="2"/>
      <c r="B150" s="2"/>
      <c r="C150" s="2"/>
      <c r="D150" s="2"/>
      <c r="E150" s="2"/>
      <c r="F150" s="2"/>
      <c r="G150" s="2"/>
      <c r="H150" s="2"/>
      <c r="I150" s="2"/>
      <c r="J150" s="2"/>
      <c r="K150" s="2"/>
      <c r="L150" s="2"/>
      <c r="M150" s="2"/>
      <c r="N150" s="2"/>
      <c r="O150" s="2"/>
      <c r="P150" s="2"/>
      <c r="Q150" s="2"/>
      <c r="R150" s="2"/>
    </row>
    <row r="151" customFormat="false" ht="15" hidden="false" customHeight="false" outlineLevel="0" collapsed="false">
      <c r="A151" s="2"/>
      <c r="B151" s="2"/>
      <c r="C151" s="2"/>
      <c r="D151" s="2"/>
      <c r="E151" s="2"/>
      <c r="F151" s="2"/>
      <c r="G151" s="2"/>
      <c r="H151" s="2"/>
      <c r="I151" s="2"/>
      <c r="J151" s="2"/>
      <c r="K151" s="2"/>
      <c r="L151" s="2"/>
      <c r="M151" s="2"/>
      <c r="N151" s="2"/>
      <c r="O151" s="2"/>
      <c r="P151" s="2"/>
      <c r="Q151" s="2"/>
      <c r="R151" s="2"/>
    </row>
    <row r="152" customFormat="false" ht="15" hidden="false" customHeight="false" outlineLevel="0" collapsed="false">
      <c r="A152" s="2"/>
      <c r="B152" s="2"/>
      <c r="C152" s="2"/>
      <c r="D152" s="2"/>
      <c r="E152" s="2"/>
      <c r="F152" s="2"/>
      <c r="G152" s="2"/>
      <c r="H152" s="2"/>
      <c r="I152" s="2"/>
      <c r="J152" s="2"/>
      <c r="K152" s="2"/>
      <c r="L152" s="2"/>
      <c r="M152" s="2"/>
      <c r="N152" s="2"/>
      <c r="O152" s="2"/>
      <c r="P152" s="2"/>
      <c r="Q152" s="2"/>
      <c r="R152" s="2"/>
    </row>
    <row r="153" customFormat="false" ht="15" hidden="false" customHeight="false" outlineLevel="0" collapsed="false">
      <c r="A153" s="2"/>
      <c r="B153" s="2"/>
      <c r="C153" s="2"/>
      <c r="D153" s="2"/>
      <c r="E153" s="2"/>
      <c r="F153" s="2"/>
      <c r="G153" s="2"/>
      <c r="H153" s="2"/>
      <c r="I153" s="2"/>
      <c r="J153" s="2"/>
      <c r="K153" s="2"/>
      <c r="L153" s="2"/>
      <c r="M153" s="2"/>
      <c r="N153" s="2"/>
      <c r="O153" s="2"/>
      <c r="P153" s="2"/>
      <c r="Q153" s="2"/>
      <c r="R153" s="2"/>
    </row>
    <row r="154" customFormat="false" ht="15" hidden="false" customHeight="false" outlineLevel="0" collapsed="false">
      <c r="A154" s="2"/>
      <c r="B154" s="2"/>
      <c r="C154" s="2"/>
      <c r="D154" s="2"/>
      <c r="E154" s="2"/>
      <c r="F154" s="2"/>
      <c r="G154" s="2"/>
      <c r="H154" s="2"/>
      <c r="I154" s="2"/>
      <c r="J154" s="2"/>
      <c r="K154" s="2"/>
      <c r="L154" s="2"/>
      <c r="M154" s="2"/>
      <c r="N154" s="2"/>
      <c r="O154" s="2"/>
      <c r="P154" s="2"/>
      <c r="Q154" s="2"/>
      <c r="R154" s="2"/>
    </row>
    <row r="155" customFormat="false" ht="15" hidden="false" customHeight="false" outlineLevel="0" collapsed="false">
      <c r="A155" s="2"/>
      <c r="B155" s="2"/>
      <c r="C155" s="2"/>
      <c r="D155" s="2"/>
      <c r="E155" s="2"/>
      <c r="F155" s="2"/>
      <c r="G155" s="2"/>
      <c r="H155" s="2"/>
      <c r="I155" s="2"/>
      <c r="J155" s="2"/>
      <c r="K155" s="2"/>
      <c r="L155" s="2"/>
      <c r="M155" s="2"/>
      <c r="N155" s="2"/>
      <c r="O155" s="2"/>
      <c r="P155" s="2"/>
      <c r="Q155" s="2"/>
      <c r="R155" s="2"/>
    </row>
    <row r="156" customFormat="false" ht="15" hidden="false" customHeight="false" outlineLevel="0" collapsed="false">
      <c r="A156" s="2"/>
      <c r="B156" s="2"/>
      <c r="C156" s="2"/>
      <c r="D156" s="2"/>
      <c r="E156" s="2"/>
      <c r="F156" s="2"/>
      <c r="G156" s="2"/>
      <c r="H156" s="2"/>
      <c r="I156" s="2"/>
      <c r="J156" s="2"/>
      <c r="K156" s="2"/>
      <c r="L156" s="2"/>
      <c r="M156" s="2"/>
      <c r="N156" s="2"/>
      <c r="O156" s="2"/>
      <c r="P156" s="2"/>
      <c r="Q156" s="2"/>
      <c r="R156" s="2"/>
    </row>
    <row r="157" customFormat="false" ht="15" hidden="false" customHeight="false" outlineLevel="0" collapsed="false">
      <c r="A157" s="2"/>
      <c r="B157" s="2"/>
      <c r="C157" s="2"/>
      <c r="D157" s="2"/>
      <c r="E157" s="2"/>
      <c r="F157" s="2"/>
      <c r="G157" s="2"/>
      <c r="H157" s="2"/>
      <c r="I157" s="2"/>
      <c r="J157" s="2"/>
      <c r="K157" s="2"/>
      <c r="L157" s="2"/>
      <c r="M157" s="2"/>
      <c r="N157" s="2"/>
      <c r="O157" s="2"/>
      <c r="P157" s="2"/>
      <c r="Q157" s="2"/>
      <c r="R157" s="2"/>
    </row>
    <row r="158" customFormat="false" ht="15" hidden="false" customHeight="false" outlineLevel="0" collapsed="false">
      <c r="A158" s="2"/>
      <c r="B158" s="2"/>
      <c r="C158" s="2"/>
      <c r="D158" s="2"/>
      <c r="E158" s="2"/>
      <c r="F158" s="2"/>
      <c r="G158" s="2"/>
      <c r="H158" s="2"/>
      <c r="I158" s="2"/>
      <c r="J158" s="2"/>
      <c r="K158" s="2"/>
      <c r="L158" s="2"/>
      <c r="M158" s="2"/>
      <c r="N158" s="2"/>
      <c r="O158" s="2"/>
      <c r="P158" s="2"/>
      <c r="Q158" s="2"/>
      <c r="R158" s="2"/>
    </row>
    <row r="159" customFormat="false" ht="15" hidden="false" customHeight="false" outlineLevel="0" collapsed="false">
      <c r="A159" s="2"/>
      <c r="B159" s="2"/>
      <c r="C159" s="2"/>
      <c r="D159" s="2"/>
      <c r="E159" s="2"/>
      <c r="F159" s="2"/>
      <c r="G159" s="2"/>
      <c r="H159" s="2"/>
      <c r="I159" s="2"/>
      <c r="J159" s="2"/>
      <c r="K159" s="2"/>
      <c r="L159" s="2"/>
      <c r="M159" s="2"/>
      <c r="N159" s="2"/>
      <c r="O159" s="2"/>
      <c r="P159" s="2"/>
      <c r="Q159" s="2"/>
      <c r="R159" s="2"/>
    </row>
    <row r="160" customFormat="false" ht="15" hidden="false" customHeight="false" outlineLevel="0" collapsed="false">
      <c r="A160" s="2"/>
      <c r="B160" s="2"/>
      <c r="C160" s="2"/>
      <c r="D160" s="2"/>
      <c r="E160" s="2"/>
      <c r="F160" s="2"/>
      <c r="G160" s="2"/>
      <c r="H160" s="2"/>
      <c r="I160" s="2"/>
      <c r="J160" s="2"/>
      <c r="K160" s="2"/>
      <c r="L160" s="2"/>
      <c r="M160" s="2"/>
      <c r="N160" s="2"/>
      <c r="O160" s="2"/>
      <c r="P160" s="2"/>
      <c r="Q160" s="2"/>
      <c r="R160" s="2"/>
    </row>
    <row r="161" customFormat="false" ht="15" hidden="false" customHeight="false" outlineLevel="0" collapsed="false">
      <c r="A161" s="2"/>
      <c r="B161" s="2"/>
      <c r="C161" s="2"/>
      <c r="D161" s="2"/>
      <c r="E161" s="2"/>
      <c r="F161" s="2"/>
      <c r="G161" s="2"/>
      <c r="H161" s="2"/>
      <c r="I161" s="2"/>
      <c r="J161" s="2"/>
      <c r="K161" s="2"/>
      <c r="L161" s="2"/>
      <c r="M161" s="2"/>
      <c r="N161" s="2"/>
      <c r="O161" s="2"/>
      <c r="P161" s="2"/>
      <c r="Q161" s="2"/>
      <c r="R161" s="2"/>
    </row>
    <row r="162" customFormat="false" ht="15" hidden="false" customHeight="false" outlineLevel="0" collapsed="false">
      <c r="A162" s="2"/>
      <c r="B162" s="2"/>
      <c r="C162" s="2"/>
      <c r="D162" s="2"/>
      <c r="E162" s="2"/>
      <c r="F162" s="2"/>
      <c r="G162" s="2"/>
      <c r="H162" s="2"/>
      <c r="I162" s="2"/>
      <c r="J162" s="2"/>
      <c r="K162" s="2"/>
      <c r="L162" s="2"/>
      <c r="M162" s="2"/>
      <c r="N162" s="2"/>
      <c r="O162" s="2"/>
      <c r="P162" s="2"/>
      <c r="Q162" s="2"/>
      <c r="R162" s="2"/>
    </row>
    <row r="163" customFormat="false" ht="15" hidden="false" customHeight="false" outlineLevel="0" collapsed="false">
      <c r="A163" s="2"/>
      <c r="B163" s="2"/>
      <c r="C163" s="2"/>
      <c r="D163" s="2"/>
      <c r="E163" s="2"/>
      <c r="F163" s="2"/>
      <c r="G163" s="2"/>
      <c r="H163" s="2"/>
      <c r="I163" s="2"/>
      <c r="J163" s="2"/>
      <c r="K163" s="2"/>
      <c r="L163" s="2"/>
      <c r="M163" s="2"/>
      <c r="N163" s="2"/>
      <c r="O163" s="2"/>
      <c r="P163" s="2"/>
      <c r="Q163" s="2"/>
      <c r="R163" s="2"/>
    </row>
    <row r="164" customFormat="false" ht="15" hidden="false" customHeight="false" outlineLevel="0" collapsed="false">
      <c r="A164" s="2"/>
      <c r="B164" s="2"/>
      <c r="C164" s="2"/>
      <c r="D164" s="2"/>
      <c r="E164" s="2"/>
      <c r="F164" s="2"/>
      <c r="G164" s="2"/>
      <c r="H164" s="2"/>
      <c r="I164" s="2"/>
      <c r="J164" s="2"/>
      <c r="K164" s="2"/>
      <c r="L164" s="2"/>
      <c r="M164" s="2"/>
      <c r="N164" s="2"/>
      <c r="O164" s="2"/>
      <c r="P164" s="2"/>
      <c r="Q164" s="2"/>
      <c r="R164" s="2"/>
    </row>
    <row r="165" customFormat="false" ht="15" hidden="false" customHeight="false" outlineLevel="0" collapsed="false">
      <c r="A165" s="2"/>
      <c r="B165" s="2"/>
      <c r="C165" s="2"/>
      <c r="D165" s="2"/>
      <c r="E165" s="2"/>
      <c r="F165" s="2"/>
      <c r="G165" s="2"/>
      <c r="H165" s="2"/>
      <c r="I165" s="2"/>
      <c r="J165" s="2"/>
      <c r="K165" s="2"/>
      <c r="L165" s="2"/>
      <c r="M165" s="2"/>
      <c r="N165" s="2"/>
      <c r="O165" s="2"/>
      <c r="P165" s="2"/>
      <c r="Q165" s="2"/>
      <c r="R165" s="2"/>
    </row>
    <row r="166" customFormat="false" ht="15" hidden="false" customHeight="false" outlineLevel="0" collapsed="false">
      <c r="A166" s="2"/>
      <c r="B166" s="2"/>
      <c r="C166" s="2"/>
      <c r="D166" s="2"/>
      <c r="E166" s="2"/>
      <c r="F166" s="2"/>
      <c r="G166" s="2"/>
      <c r="H166" s="2"/>
      <c r="I166" s="2"/>
      <c r="J166" s="2"/>
      <c r="K166" s="2"/>
      <c r="L166" s="2"/>
      <c r="M166" s="2"/>
      <c r="N166" s="2"/>
      <c r="O166" s="2"/>
      <c r="P166" s="2"/>
      <c r="Q166" s="2"/>
      <c r="R166" s="2"/>
    </row>
    <row r="167" customFormat="false" ht="15" hidden="false" customHeight="false" outlineLevel="0" collapsed="false">
      <c r="A167" s="2"/>
      <c r="B167" s="2"/>
      <c r="C167" s="2"/>
      <c r="D167" s="2"/>
      <c r="E167" s="2"/>
      <c r="F167" s="2"/>
      <c r="G167" s="2"/>
      <c r="H167" s="2"/>
      <c r="I167" s="2"/>
      <c r="J167" s="2"/>
      <c r="K167" s="2"/>
      <c r="L167" s="2"/>
      <c r="M167" s="2"/>
      <c r="N167" s="2"/>
      <c r="O167" s="2"/>
      <c r="P167" s="2"/>
      <c r="Q167" s="2"/>
      <c r="R167" s="2"/>
    </row>
    <row r="168" customFormat="false" ht="15" hidden="false" customHeight="false" outlineLevel="0" collapsed="false">
      <c r="A168" s="2"/>
      <c r="B168" s="2"/>
      <c r="C168" s="2"/>
      <c r="D168" s="2"/>
      <c r="E168" s="2"/>
      <c r="F168" s="2"/>
      <c r="G168" s="2"/>
      <c r="H168" s="2"/>
      <c r="I168" s="2"/>
      <c r="J168" s="2"/>
      <c r="K168" s="2"/>
      <c r="L168" s="2"/>
      <c r="M168" s="2"/>
      <c r="N168" s="2"/>
      <c r="O168" s="2"/>
      <c r="P168" s="2"/>
      <c r="Q168" s="2"/>
      <c r="R168" s="2"/>
    </row>
    <row r="169" customFormat="false" ht="15" hidden="false" customHeight="false" outlineLevel="0" collapsed="false">
      <c r="A169" s="2"/>
      <c r="B169" s="2"/>
      <c r="C169" s="2"/>
      <c r="D169" s="2"/>
      <c r="E169" s="2"/>
      <c r="F169" s="2"/>
      <c r="G169" s="2"/>
      <c r="H169" s="2"/>
      <c r="I169" s="2"/>
      <c r="J169" s="2"/>
      <c r="K169" s="2"/>
      <c r="L169" s="2"/>
      <c r="M169" s="2"/>
      <c r="N169" s="2"/>
      <c r="O169" s="2"/>
      <c r="P169" s="2"/>
      <c r="Q169" s="2"/>
      <c r="R169" s="2"/>
    </row>
    <row r="170" customFormat="false" ht="15" hidden="false" customHeight="false" outlineLevel="0" collapsed="false">
      <c r="A170" s="2"/>
      <c r="B170" s="2"/>
      <c r="C170" s="2"/>
      <c r="D170" s="2"/>
      <c r="E170" s="2"/>
      <c r="F170" s="2"/>
      <c r="G170" s="2"/>
      <c r="H170" s="2"/>
      <c r="I170" s="2"/>
      <c r="J170" s="2"/>
      <c r="K170" s="2"/>
      <c r="L170" s="2"/>
      <c r="M170" s="2"/>
      <c r="N170" s="2"/>
      <c r="O170" s="2"/>
      <c r="P170" s="2"/>
      <c r="Q170" s="2"/>
      <c r="R170" s="2"/>
    </row>
    <row r="171" customFormat="false" ht="15" hidden="false" customHeight="false" outlineLevel="0" collapsed="false">
      <c r="A171" s="2"/>
      <c r="B171" s="2"/>
      <c r="C171" s="2"/>
      <c r="D171" s="2"/>
      <c r="E171" s="2"/>
      <c r="F171" s="2"/>
      <c r="G171" s="2"/>
      <c r="H171" s="2"/>
      <c r="I171" s="2"/>
      <c r="J171" s="2"/>
      <c r="K171" s="2"/>
      <c r="L171" s="2"/>
      <c r="M171" s="2"/>
      <c r="N171" s="2"/>
      <c r="O171" s="2"/>
      <c r="P171" s="2"/>
      <c r="Q171" s="2"/>
      <c r="R171" s="2"/>
    </row>
    <row r="172" customFormat="false" ht="15" hidden="false" customHeight="false" outlineLevel="0" collapsed="false">
      <c r="A172" s="2"/>
      <c r="B172" s="2"/>
      <c r="C172" s="2"/>
      <c r="D172" s="2"/>
      <c r="E172" s="2"/>
      <c r="F172" s="2"/>
      <c r="G172" s="2"/>
      <c r="H172" s="2"/>
      <c r="I172" s="2"/>
      <c r="J172" s="2"/>
      <c r="K172" s="2"/>
      <c r="L172" s="2"/>
      <c r="M172" s="2"/>
      <c r="N172" s="2"/>
      <c r="O172" s="2"/>
      <c r="P172" s="2"/>
      <c r="Q172" s="2"/>
      <c r="R172" s="2"/>
    </row>
    <row r="173" customFormat="false" ht="15" hidden="false" customHeight="false" outlineLevel="0" collapsed="false">
      <c r="A173" s="2"/>
      <c r="B173" s="2"/>
      <c r="C173" s="2"/>
      <c r="D173" s="2"/>
      <c r="E173" s="2"/>
      <c r="F173" s="2"/>
      <c r="G173" s="2"/>
      <c r="H173" s="2"/>
      <c r="I173" s="2"/>
      <c r="J173" s="2"/>
      <c r="K173" s="2"/>
      <c r="L173" s="2"/>
      <c r="M173" s="2"/>
      <c r="N173" s="2"/>
      <c r="O173" s="2"/>
      <c r="P173" s="2"/>
      <c r="Q173" s="2"/>
      <c r="R173" s="2"/>
    </row>
    <row r="174" customFormat="false" ht="15" hidden="false" customHeight="false" outlineLevel="0" collapsed="false">
      <c r="A174" s="2"/>
      <c r="B174" s="2"/>
      <c r="C174" s="2"/>
      <c r="D174" s="2"/>
      <c r="E174" s="2"/>
      <c r="F174" s="2"/>
      <c r="G174" s="2"/>
      <c r="H174" s="2"/>
      <c r="I174" s="2"/>
      <c r="J174" s="2"/>
      <c r="K174" s="2"/>
      <c r="L174" s="2"/>
      <c r="M174" s="2"/>
      <c r="N174" s="2"/>
      <c r="O174" s="2"/>
      <c r="P174" s="2"/>
      <c r="Q174" s="2"/>
      <c r="R174" s="2"/>
    </row>
    <row r="175" customFormat="false" ht="15" hidden="false" customHeight="false" outlineLevel="0" collapsed="false">
      <c r="A175" s="2"/>
      <c r="B175" s="2"/>
      <c r="C175" s="2"/>
      <c r="D175" s="2"/>
      <c r="E175" s="2"/>
      <c r="F175" s="2"/>
      <c r="G175" s="2"/>
      <c r="H175" s="2"/>
      <c r="I175" s="2"/>
      <c r="J175" s="2"/>
      <c r="K175" s="2"/>
      <c r="L175" s="2"/>
      <c r="M175" s="2"/>
      <c r="N175" s="2"/>
      <c r="O175" s="2"/>
      <c r="P175" s="2"/>
      <c r="Q175" s="2"/>
      <c r="R175" s="2"/>
    </row>
    <row r="176" customFormat="false" ht="15" hidden="false" customHeight="false" outlineLevel="0" collapsed="false">
      <c r="A176" s="2"/>
      <c r="B176" s="2"/>
      <c r="C176" s="2"/>
      <c r="D176" s="2"/>
      <c r="E176" s="2"/>
      <c r="F176" s="2"/>
      <c r="G176" s="2"/>
      <c r="H176" s="2"/>
      <c r="I176" s="2"/>
      <c r="J176" s="2"/>
      <c r="K176" s="2"/>
      <c r="L176" s="2"/>
      <c r="M176" s="2"/>
      <c r="N176" s="2"/>
      <c r="O176" s="2"/>
      <c r="P176" s="2"/>
      <c r="Q176" s="2"/>
      <c r="R176" s="2"/>
    </row>
    <row r="177" customFormat="false" ht="15" hidden="false" customHeight="false" outlineLevel="0" collapsed="false">
      <c r="A177" s="2"/>
      <c r="B177" s="2"/>
      <c r="C177" s="2"/>
      <c r="D177" s="2"/>
      <c r="E177" s="2"/>
      <c r="F177" s="2"/>
      <c r="G177" s="2"/>
      <c r="H177" s="2"/>
      <c r="I177" s="2"/>
      <c r="J177" s="2"/>
      <c r="K177" s="2"/>
      <c r="L177" s="2"/>
      <c r="M177" s="2"/>
      <c r="N177" s="2"/>
      <c r="O177" s="2"/>
      <c r="P177" s="2"/>
      <c r="Q177" s="2"/>
      <c r="R177" s="2"/>
    </row>
    <row r="178" customFormat="false" ht="15" hidden="false" customHeight="false" outlineLevel="0" collapsed="false">
      <c r="A178" s="2"/>
      <c r="B178" s="2"/>
      <c r="C178" s="2"/>
      <c r="D178" s="2"/>
      <c r="E178" s="2"/>
      <c r="F178" s="2"/>
      <c r="G178" s="2"/>
      <c r="H178" s="2"/>
      <c r="I178" s="2"/>
      <c r="J178" s="2"/>
      <c r="K178" s="2"/>
      <c r="L178" s="2"/>
      <c r="M178" s="2"/>
      <c r="N178" s="2"/>
      <c r="O178" s="2"/>
      <c r="P178" s="2"/>
      <c r="Q178" s="2"/>
      <c r="R178" s="2"/>
    </row>
    <row r="179" customFormat="false" ht="15" hidden="false" customHeight="false" outlineLevel="0" collapsed="false">
      <c r="A179" s="2"/>
      <c r="B179" s="2"/>
      <c r="C179" s="2"/>
      <c r="D179" s="2"/>
      <c r="E179" s="2"/>
      <c r="F179" s="2"/>
      <c r="G179" s="2"/>
      <c r="H179" s="2"/>
      <c r="I179" s="2"/>
      <c r="J179" s="2"/>
      <c r="K179" s="2"/>
      <c r="L179" s="2"/>
      <c r="M179" s="2"/>
      <c r="N179" s="2"/>
      <c r="O179" s="2"/>
      <c r="P179" s="2"/>
      <c r="Q179" s="2"/>
      <c r="R179" s="2"/>
    </row>
    <row r="180" customFormat="false" ht="15" hidden="false" customHeight="false" outlineLevel="0" collapsed="false">
      <c r="A180" s="2"/>
      <c r="B180" s="2"/>
      <c r="C180" s="2"/>
      <c r="D180" s="2"/>
      <c r="E180" s="2"/>
      <c r="F180" s="2"/>
      <c r="G180" s="2"/>
      <c r="H180" s="2"/>
      <c r="I180" s="2"/>
      <c r="J180" s="2"/>
      <c r="K180" s="2"/>
      <c r="L180" s="2"/>
      <c r="M180" s="2"/>
      <c r="N180" s="2"/>
      <c r="O180" s="2"/>
      <c r="P180" s="2"/>
      <c r="Q180" s="2"/>
      <c r="R180" s="2"/>
    </row>
    <row r="181" customFormat="false" ht="15" hidden="false" customHeight="false" outlineLevel="0" collapsed="false">
      <c r="A181" s="2"/>
      <c r="B181" s="2"/>
      <c r="C181" s="2"/>
      <c r="D181" s="2"/>
      <c r="E181" s="2"/>
      <c r="F181" s="2"/>
      <c r="G181" s="2"/>
      <c r="H181" s="2"/>
      <c r="I181" s="2"/>
      <c r="J181" s="2"/>
      <c r="K181" s="2"/>
      <c r="L181" s="2"/>
      <c r="M181" s="2"/>
      <c r="N181" s="2"/>
      <c r="O181" s="2"/>
      <c r="P181" s="2"/>
      <c r="Q181" s="2"/>
      <c r="R181" s="2"/>
    </row>
    <row r="182" customFormat="false" ht="15" hidden="false" customHeight="false" outlineLevel="0" collapsed="false">
      <c r="A182" s="2"/>
      <c r="B182" s="2"/>
      <c r="C182" s="2"/>
      <c r="D182" s="2"/>
      <c r="E182" s="2"/>
      <c r="F182" s="2"/>
      <c r="G182" s="2"/>
      <c r="H182" s="2"/>
      <c r="I182" s="2"/>
      <c r="J182" s="2"/>
      <c r="K182" s="2"/>
      <c r="L182" s="2"/>
      <c r="M182" s="2"/>
      <c r="N182" s="2"/>
      <c r="O182" s="2"/>
      <c r="P182" s="2"/>
      <c r="Q182" s="2"/>
      <c r="R182" s="2"/>
    </row>
    <row r="183" customFormat="false" ht="15" hidden="false" customHeight="false" outlineLevel="0" collapsed="false">
      <c r="A183" s="2"/>
      <c r="B183" s="2"/>
      <c r="C183" s="2"/>
      <c r="D183" s="2"/>
      <c r="E183" s="2"/>
      <c r="F183" s="2"/>
      <c r="G183" s="2"/>
      <c r="H183" s="2"/>
      <c r="I183" s="2"/>
      <c r="J183" s="2"/>
      <c r="K183" s="2"/>
      <c r="L183" s="2"/>
      <c r="M183" s="2"/>
      <c r="N183" s="2"/>
      <c r="O183" s="2"/>
      <c r="P183" s="2"/>
      <c r="Q183" s="2"/>
      <c r="R183" s="2"/>
    </row>
    <row r="184" customFormat="false" ht="15" hidden="false" customHeight="false" outlineLevel="0" collapsed="false">
      <c r="A184" s="2"/>
      <c r="B184" s="2"/>
      <c r="C184" s="2"/>
      <c r="D184" s="2"/>
      <c r="E184" s="2"/>
      <c r="F184" s="2"/>
      <c r="G184" s="2"/>
      <c r="H184" s="2"/>
      <c r="I184" s="2"/>
      <c r="J184" s="2"/>
      <c r="K184" s="2"/>
      <c r="L184" s="2"/>
      <c r="M184" s="2"/>
      <c r="N184" s="2"/>
      <c r="O184" s="2"/>
      <c r="P184" s="2"/>
      <c r="Q184" s="2"/>
      <c r="R184" s="2"/>
    </row>
    <row r="185" customFormat="false" ht="15" hidden="false" customHeight="false" outlineLevel="0" collapsed="false">
      <c r="A185" s="2"/>
      <c r="B185" s="2"/>
      <c r="C185" s="2"/>
      <c r="D185" s="2"/>
      <c r="E185" s="2"/>
      <c r="F185" s="2"/>
      <c r="G185" s="2"/>
      <c r="H185" s="2"/>
      <c r="I185" s="2"/>
      <c r="J185" s="2"/>
      <c r="K185" s="2"/>
      <c r="L185" s="2"/>
      <c r="M185" s="2"/>
      <c r="N185" s="2"/>
      <c r="O185" s="2"/>
      <c r="P185" s="2"/>
      <c r="Q185" s="2"/>
      <c r="R185" s="2"/>
    </row>
    <row r="186" customFormat="false" ht="15" hidden="false" customHeight="false" outlineLevel="0" collapsed="false">
      <c r="A186" s="2"/>
      <c r="B186" s="2"/>
      <c r="C186" s="2"/>
      <c r="D186" s="2"/>
      <c r="E186" s="2"/>
      <c r="F186" s="2"/>
      <c r="G186" s="2"/>
      <c r="H186" s="2"/>
      <c r="I186" s="2"/>
      <c r="J186" s="2"/>
      <c r="K186" s="2"/>
      <c r="L186" s="2"/>
      <c r="M186" s="2"/>
      <c r="N186" s="2"/>
      <c r="O186" s="2"/>
      <c r="P186" s="2"/>
      <c r="Q186" s="2"/>
      <c r="R186" s="2"/>
    </row>
    <row r="187" customFormat="false" ht="15" hidden="false" customHeight="false" outlineLevel="0" collapsed="false">
      <c r="A187" s="2"/>
      <c r="B187" s="2"/>
      <c r="C187" s="2"/>
      <c r="D187" s="2"/>
      <c r="E187" s="2"/>
      <c r="F187" s="2"/>
      <c r="G187" s="2"/>
      <c r="H187" s="2"/>
      <c r="I187" s="2"/>
      <c r="J187" s="2"/>
      <c r="K187" s="2"/>
      <c r="L187" s="2"/>
      <c r="M187" s="2"/>
      <c r="N187" s="2"/>
      <c r="O187" s="2"/>
      <c r="P187" s="2"/>
      <c r="Q187" s="2"/>
      <c r="R187" s="2"/>
    </row>
    <row r="188" customFormat="false" ht="15" hidden="false" customHeight="false" outlineLevel="0" collapsed="false">
      <c r="A188" s="2"/>
      <c r="B188" s="2"/>
      <c r="C188" s="2"/>
      <c r="D188" s="2"/>
      <c r="E188" s="2"/>
      <c r="F188" s="2"/>
      <c r="G188" s="2"/>
      <c r="H188" s="2"/>
      <c r="I188" s="2"/>
      <c r="J188" s="2"/>
      <c r="K188" s="2"/>
      <c r="L188" s="2"/>
      <c r="M188" s="2"/>
      <c r="N188" s="2"/>
      <c r="O188" s="2"/>
      <c r="P188" s="2"/>
      <c r="Q188" s="2"/>
      <c r="R188" s="2"/>
    </row>
    <row r="189" customFormat="false" ht="15" hidden="false" customHeight="false" outlineLevel="0" collapsed="false">
      <c r="A189" s="2"/>
      <c r="B189" s="2"/>
      <c r="C189" s="2"/>
      <c r="D189" s="2"/>
      <c r="E189" s="2"/>
      <c r="F189" s="2"/>
      <c r="G189" s="2"/>
      <c r="H189" s="2"/>
      <c r="I189" s="2"/>
      <c r="J189" s="2"/>
      <c r="K189" s="2"/>
      <c r="L189" s="2"/>
      <c r="M189" s="2"/>
      <c r="N189" s="2"/>
      <c r="O189" s="2"/>
      <c r="P189" s="2"/>
      <c r="Q189" s="2"/>
      <c r="R189" s="2"/>
    </row>
    <row r="190" customFormat="false" ht="15" hidden="false" customHeight="false" outlineLevel="0" collapsed="false">
      <c r="A190" s="2"/>
      <c r="B190" s="2"/>
      <c r="C190" s="2"/>
      <c r="D190" s="2"/>
      <c r="E190" s="2"/>
      <c r="F190" s="2"/>
      <c r="G190" s="2"/>
      <c r="H190" s="2"/>
      <c r="I190" s="2"/>
      <c r="J190" s="2"/>
      <c r="K190" s="2"/>
      <c r="L190" s="2"/>
      <c r="M190" s="2"/>
      <c r="N190" s="2"/>
      <c r="O190" s="2"/>
      <c r="P190" s="2"/>
      <c r="Q190" s="2"/>
      <c r="R190" s="2"/>
    </row>
    <row r="191" customFormat="false" ht="15" hidden="false" customHeight="false" outlineLevel="0" collapsed="false">
      <c r="A191" s="2"/>
      <c r="B191" s="2"/>
      <c r="C191" s="2"/>
      <c r="D191" s="2"/>
      <c r="E191" s="2"/>
      <c r="F191" s="2"/>
      <c r="G191" s="2"/>
      <c r="H191" s="2"/>
      <c r="I191" s="2"/>
      <c r="J191" s="2"/>
      <c r="K191" s="2"/>
      <c r="L191" s="2"/>
      <c r="M191" s="2"/>
      <c r="N191" s="2"/>
      <c r="O191" s="2"/>
      <c r="P191" s="2"/>
      <c r="Q191" s="2"/>
      <c r="R191" s="2"/>
    </row>
    <row r="192" customFormat="false" ht="15" hidden="false" customHeight="false" outlineLevel="0" collapsed="false">
      <c r="A192" s="2"/>
      <c r="B192" s="2"/>
      <c r="C192" s="2"/>
      <c r="D192" s="2"/>
      <c r="E192" s="2"/>
      <c r="F192" s="2"/>
      <c r="G192" s="2"/>
      <c r="H192" s="2"/>
      <c r="I192" s="2"/>
      <c r="J192" s="2"/>
      <c r="K192" s="2"/>
      <c r="L192" s="2"/>
      <c r="M192" s="2"/>
      <c r="N192" s="2"/>
      <c r="O192" s="2"/>
      <c r="P192" s="2"/>
      <c r="Q192" s="2"/>
      <c r="R192" s="2"/>
    </row>
    <row r="193" customFormat="false" ht="15" hidden="false" customHeight="false" outlineLevel="0" collapsed="false">
      <c r="A193" s="2"/>
      <c r="B193" s="2"/>
      <c r="C193" s="2"/>
      <c r="D193" s="2"/>
      <c r="E193" s="2"/>
      <c r="F193" s="2"/>
      <c r="G193" s="2"/>
      <c r="H193" s="2"/>
      <c r="I193" s="2"/>
      <c r="J193" s="2"/>
      <c r="K193" s="2"/>
      <c r="L193" s="2"/>
      <c r="M193" s="2"/>
      <c r="N193" s="2"/>
      <c r="O193" s="2"/>
      <c r="P193" s="2"/>
      <c r="Q193" s="2"/>
      <c r="R193" s="2"/>
    </row>
    <row r="194" customFormat="false" ht="15" hidden="false" customHeight="false" outlineLevel="0" collapsed="false">
      <c r="A194" s="2"/>
      <c r="B194" s="2"/>
      <c r="C194" s="2"/>
      <c r="D194" s="2"/>
      <c r="E194" s="2"/>
      <c r="F194" s="2"/>
      <c r="G194" s="2"/>
      <c r="H194" s="2"/>
      <c r="I194" s="2"/>
      <c r="J194" s="2"/>
      <c r="K194" s="2"/>
      <c r="L194" s="2"/>
      <c r="M194" s="2"/>
      <c r="N194" s="2"/>
      <c r="O194" s="2"/>
      <c r="P194" s="2"/>
      <c r="Q194" s="2"/>
      <c r="R194" s="2"/>
    </row>
    <row r="195" customFormat="false" ht="15" hidden="false" customHeight="false" outlineLevel="0" collapsed="false">
      <c r="A195" s="2"/>
      <c r="B195" s="2"/>
      <c r="C195" s="2"/>
      <c r="D195" s="2"/>
      <c r="E195" s="2"/>
      <c r="F195" s="2"/>
      <c r="G195" s="2"/>
      <c r="H195" s="2"/>
      <c r="I195" s="2"/>
      <c r="J195" s="2"/>
      <c r="K195" s="2"/>
      <c r="L195" s="2"/>
      <c r="M195" s="2"/>
      <c r="N195" s="2"/>
      <c r="O195" s="2"/>
      <c r="P195" s="2"/>
      <c r="Q195" s="2"/>
      <c r="R195" s="2"/>
    </row>
    <row r="196" customFormat="false" ht="15" hidden="false" customHeight="false" outlineLevel="0" collapsed="false">
      <c r="A196" s="2"/>
      <c r="B196" s="2"/>
      <c r="C196" s="2"/>
      <c r="D196" s="2"/>
      <c r="E196" s="2"/>
      <c r="F196" s="2"/>
      <c r="G196" s="2"/>
      <c r="H196" s="2"/>
      <c r="I196" s="2"/>
      <c r="J196" s="2"/>
      <c r="K196" s="2"/>
      <c r="L196" s="2"/>
      <c r="M196" s="2"/>
      <c r="N196" s="2"/>
      <c r="O196" s="2"/>
      <c r="P196" s="2"/>
      <c r="Q196" s="2"/>
      <c r="R196" s="2"/>
    </row>
    <row r="197" customFormat="false" ht="15" hidden="false" customHeight="false" outlineLevel="0" collapsed="false">
      <c r="A197" s="2"/>
      <c r="B197" s="2"/>
      <c r="C197" s="2"/>
      <c r="D197" s="2"/>
      <c r="E197" s="2"/>
      <c r="F197" s="2"/>
      <c r="G197" s="2"/>
      <c r="H197" s="2"/>
      <c r="I197" s="2"/>
      <c r="J197" s="2"/>
      <c r="K197" s="2"/>
      <c r="L197" s="2"/>
      <c r="M197" s="2"/>
      <c r="N197" s="2"/>
      <c r="O197" s="2"/>
      <c r="P197" s="2"/>
      <c r="Q197" s="2"/>
      <c r="R197" s="2"/>
    </row>
    <row r="198" customFormat="false" ht="15" hidden="false" customHeight="false" outlineLevel="0" collapsed="false">
      <c r="A198" s="2"/>
      <c r="B198" s="2"/>
      <c r="C198" s="2"/>
      <c r="D198" s="2"/>
      <c r="E198" s="2"/>
      <c r="F198" s="2"/>
      <c r="G198" s="2"/>
      <c r="H198" s="2"/>
      <c r="I198" s="2"/>
      <c r="J198" s="2"/>
      <c r="K198" s="2"/>
      <c r="L198" s="2"/>
      <c r="M198" s="2"/>
      <c r="N198" s="2"/>
      <c r="O198" s="2"/>
      <c r="P198" s="2"/>
      <c r="Q198" s="2"/>
      <c r="R198" s="2"/>
    </row>
    <row r="199" customFormat="false" ht="15" hidden="false" customHeight="false" outlineLevel="0" collapsed="false">
      <c r="A199" s="2"/>
      <c r="B199" s="2"/>
      <c r="C199" s="2"/>
      <c r="D199" s="2"/>
      <c r="E199" s="2"/>
      <c r="F199" s="2"/>
      <c r="G199" s="2"/>
      <c r="H199" s="2"/>
      <c r="I199" s="2"/>
      <c r="J199" s="2"/>
      <c r="K199" s="2"/>
      <c r="L199" s="2"/>
      <c r="M199" s="2"/>
      <c r="N199" s="2"/>
      <c r="O199" s="2"/>
      <c r="P199" s="2"/>
      <c r="Q199" s="2"/>
      <c r="R199" s="2"/>
    </row>
    <row r="200" customFormat="false" ht="15" hidden="false" customHeight="false" outlineLevel="0" collapsed="false">
      <c r="A200" s="2"/>
      <c r="B200" s="2"/>
      <c r="C200" s="2"/>
      <c r="D200" s="2"/>
      <c r="E200" s="2"/>
      <c r="F200" s="2"/>
      <c r="G200" s="2"/>
      <c r="H200" s="2"/>
      <c r="I200" s="2"/>
      <c r="J200" s="2"/>
      <c r="K200" s="2"/>
      <c r="L200" s="2"/>
      <c r="M200" s="2"/>
      <c r="N200" s="2"/>
      <c r="O200" s="2"/>
      <c r="P200" s="2"/>
      <c r="Q200" s="2"/>
      <c r="R200" s="2"/>
    </row>
    <row r="201" customFormat="false" ht="15" hidden="false" customHeight="false" outlineLevel="0" collapsed="false">
      <c r="A201" s="2"/>
      <c r="B201" s="2"/>
      <c r="C201" s="2"/>
      <c r="D201" s="2"/>
      <c r="E201" s="2"/>
      <c r="F201" s="2"/>
      <c r="G201" s="2"/>
      <c r="H201" s="2"/>
      <c r="I201" s="2"/>
      <c r="J201" s="2"/>
      <c r="K201" s="2"/>
      <c r="L201" s="2"/>
      <c r="M201" s="2"/>
      <c r="N201" s="2"/>
      <c r="O201" s="2"/>
      <c r="P201" s="2"/>
      <c r="Q201" s="2"/>
      <c r="R201" s="2"/>
    </row>
    <row r="202" customFormat="false" ht="15" hidden="false" customHeight="false" outlineLevel="0" collapsed="false">
      <c r="A202" s="2"/>
      <c r="B202" s="2"/>
      <c r="C202" s="2"/>
      <c r="D202" s="2"/>
      <c r="E202" s="2"/>
      <c r="F202" s="2"/>
      <c r="G202" s="2"/>
      <c r="H202" s="2"/>
      <c r="I202" s="2"/>
      <c r="J202" s="2"/>
      <c r="K202" s="2"/>
      <c r="L202" s="2"/>
      <c r="M202" s="2"/>
      <c r="N202" s="2"/>
      <c r="O202" s="2"/>
      <c r="P202" s="2"/>
      <c r="Q202" s="2"/>
      <c r="R202" s="2"/>
    </row>
    <row r="203" customFormat="false" ht="15" hidden="false" customHeight="false" outlineLevel="0" collapsed="false">
      <c r="A203" s="2"/>
      <c r="B203" s="2"/>
      <c r="C203" s="2"/>
      <c r="D203" s="2"/>
      <c r="E203" s="2"/>
      <c r="F203" s="2"/>
      <c r="G203" s="2"/>
      <c r="H203" s="2"/>
      <c r="I203" s="2"/>
      <c r="J203" s="2"/>
      <c r="K203" s="2"/>
      <c r="L203" s="2"/>
      <c r="M203" s="2"/>
      <c r="N203" s="2"/>
      <c r="O203" s="2"/>
      <c r="P203" s="2"/>
      <c r="Q203" s="2"/>
      <c r="R203" s="2"/>
    </row>
    <row r="204" customFormat="false" ht="15" hidden="false" customHeight="false" outlineLevel="0" collapsed="false">
      <c r="A204" s="2"/>
      <c r="B204" s="2"/>
      <c r="C204" s="2"/>
      <c r="D204" s="2"/>
      <c r="E204" s="2"/>
      <c r="F204" s="2"/>
      <c r="G204" s="2"/>
      <c r="H204" s="2"/>
      <c r="I204" s="2"/>
      <c r="J204" s="2"/>
      <c r="K204" s="2"/>
      <c r="L204" s="2"/>
      <c r="M204" s="2"/>
      <c r="N204" s="2"/>
      <c r="O204" s="2"/>
      <c r="P204" s="2"/>
      <c r="Q204" s="2"/>
      <c r="R204" s="2"/>
    </row>
    <row r="205" customFormat="false" ht="15" hidden="false" customHeight="false" outlineLevel="0" collapsed="false">
      <c r="A205" s="2"/>
      <c r="B205" s="2"/>
      <c r="C205" s="2"/>
      <c r="D205" s="2"/>
      <c r="E205" s="2"/>
      <c r="F205" s="2"/>
      <c r="G205" s="2"/>
      <c r="H205" s="2"/>
      <c r="I205" s="2"/>
      <c r="J205" s="2"/>
      <c r="K205" s="2"/>
      <c r="L205" s="2"/>
      <c r="M205" s="2"/>
      <c r="N205" s="2"/>
      <c r="O205" s="2"/>
      <c r="P205" s="2"/>
      <c r="Q205" s="2"/>
      <c r="R205" s="2"/>
    </row>
    <row r="206" customFormat="false" ht="15" hidden="false" customHeight="false" outlineLevel="0" collapsed="false">
      <c r="A206" s="2"/>
      <c r="B206" s="2"/>
      <c r="C206" s="2"/>
      <c r="D206" s="2"/>
      <c r="E206" s="2"/>
      <c r="F206" s="2"/>
      <c r="G206" s="2"/>
      <c r="H206" s="2"/>
      <c r="I206" s="2"/>
      <c r="J206" s="2"/>
      <c r="K206" s="2"/>
      <c r="L206" s="2"/>
      <c r="M206" s="2"/>
      <c r="N206" s="2"/>
      <c r="O206" s="2"/>
      <c r="P206" s="2"/>
      <c r="Q206" s="2"/>
      <c r="R206" s="2"/>
    </row>
    <row r="207" customFormat="false" ht="15" hidden="false" customHeight="false" outlineLevel="0" collapsed="false">
      <c r="A207" s="2"/>
      <c r="B207" s="2"/>
      <c r="C207" s="2"/>
      <c r="D207" s="2"/>
      <c r="E207" s="2"/>
      <c r="F207" s="2"/>
      <c r="G207" s="2"/>
      <c r="H207" s="2"/>
      <c r="I207" s="2"/>
      <c r="J207" s="2"/>
      <c r="K207" s="2"/>
      <c r="L207" s="2"/>
      <c r="M207" s="2"/>
      <c r="N207" s="2"/>
      <c r="O207" s="2"/>
      <c r="P207" s="2"/>
      <c r="Q207" s="2"/>
      <c r="R207" s="2"/>
    </row>
    <row r="208" customFormat="false" ht="15" hidden="false" customHeight="false" outlineLevel="0" collapsed="false">
      <c r="A208" s="2"/>
      <c r="B208" s="2"/>
      <c r="C208" s="2"/>
      <c r="D208" s="2"/>
      <c r="E208" s="2"/>
      <c r="F208" s="2"/>
      <c r="G208" s="2"/>
      <c r="H208" s="2"/>
      <c r="I208" s="2"/>
      <c r="J208" s="2"/>
      <c r="K208" s="2"/>
      <c r="L208" s="2"/>
      <c r="M208" s="2"/>
      <c r="N208" s="2"/>
      <c r="O208" s="2"/>
      <c r="P208" s="2"/>
      <c r="Q208" s="2"/>
      <c r="R208" s="2"/>
    </row>
    <row r="209" customFormat="false" ht="15" hidden="false" customHeight="false" outlineLevel="0" collapsed="false">
      <c r="A209" s="2"/>
      <c r="B209" s="2"/>
      <c r="C209" s="2"/>
      <c r="D209" s="2"/>
      <c r="E209" s="2"/>
      <c r="F209" s="2"/>
      <c r="G209" s="2"/>
      <c r="H209" s="2"/>
      <c r="I209" s="2"/>
      <c r="J209" s="2"/>
      <c r="K209" s="2"/>
      <c r="L209" s="2"/>
      <c r="M209" s="2"/>
      <c r="N209" s="2"/>
      <c r="O209" s="2"/>
      <c r="P209" s="2"/>
      <c r="Q209" s="2"/>
      <c r="R209" s="2"/>
    </row>
    <row r="210" customFormat="false" ht="15" hidden="false" customHeight="false" outlineLevel="0" collapsed="false">
      <c r="A210" s="2"/>
      <c r="B210" s="2"/>
      <c r="C210" s="2"/>
      <c r="D210" s="2"/>
      <c r="E210" s="2"/>
      <c r="F210" s="2"/>
      <c r="G210" s="2"/>
      <c r="H210" s="2"/>
      <c r="I210" s="2"/>
      <c r="J210" s="2"/>
      <c r="K210" s="2"/>
      <c r="L210" s="2"/>
      <c r="M210" s="2"/>
      <c r="N210" s="2"/>
      <c r="O210" s="2"/>
      <c r="P210" s="2"/>
      <c r="Q210" s="2"/>
      <c r="R210" s="2"/>
    </row>
    <row r="211" customFormat="false" ht="15" hidden="false" customHeight="false" outlineLevel="0" collapsed="false">
      <c r="A211" s="2"/>
      <c r="B211" s="2"/>
      <c r="C211" s="2"/>
      <c r="D211" s="2"/>
      <c r="E211" s="2"/>
      <c r="F211" s="2"/>
      <c r="G211" s="2"/>
      <c r="H211" s="2"/>
      <c r="I211" s="2"/>
      <c r="J211" s="2"/>
      <c r="K211" s="2"/>
      <c r="L211" s="2"/>
      <c r="M211" s="2"/>
      <c r="N211" s="2"/>
      <c r="O211" s="2"/>
      <c r="P211" s="2"/>
      <c r="Q211" s="2"/>
      <c r="R211" s="2"/>
    </row>
    <row r="212" customFormat="false" ht="15" hidden="false" customHeight="false" outlineLevel="0" collapsed="false">
      <c r="A212" s="2"/>
      <c r="B212" s="2"/>
      <c r="C212" s="2"/>
      <c r="D212" s="2"/>
      <c r="E212" s="2"/>
      <c r="F212" s="2"/>
      <c r="G212" s="2"/>
      <c r="H212" s="2"/>
      <c r="I212" s="2"/>
      <c r="J212" s="2"/>
      <c r="K212" s="2"/>
      <c r="L212" s="2"/>
      <c r="M212" s="2"/>
      <c r="N212" s="2"/>
      <c r="O212" s="2"/>
      <c r="P212" s="2"/>
      <c r="Q212" s="2"/>
      <c r="R212" s="2"/>
    </row>
    <row r="213" customFormat="false" ht="15" hidden="false" customHeight="false" outlineLevel="0" collapsed="false">
      <c r="A213" s="2"/>
      <c r="B213" s="2"/>
      <c r="C213" s="2"/>
      <c r="D213" s="2"/>
      <c r="E213" s="2"/>
      <c r="F213" s="2"/>
      <c r="G213" s="2"/>
      <c r="H213" s="2"/>
      <c r="I213" s="2"/>
      <c r="J213" s="2"/>
      <c r="K213" s="2"/>
      <c r="L213" s="2"/>
      <c r="M213" s="2"/>
      <c r="N213" s="2"/>
      <c r="O213" s="2"/>
      <c r="P213" s="2"/>
      <c r="Q213" s="2"/>
      <c r="R213" s="2"/>
    </row>
    <row r="214" customFormat="false" ht="15" hidden="false" customHeight="false" outlineLevel="0" collapsed="false">
      <c r="A214" s="2"/>
      <c r="B214" s="2"/>
      <c r="C214" s="2"/>
      <c r="D214" s="2"/>
      <c r="E214" s="2"/>
      <c r="F214" s="2"/>
      <c r="G214" s="2"/>
      <c r="H214" s="2"/>
      <c r="I214" s="2"/>
      <c r="J214" s="2"/>
      <c r="K214" s="2"/>
      <c r="L214" s="2"/>
      <c r="M214" s="2"/>
      <c r="N214" s="2"/>
      <c r="O214" s="2"/>
      <c r="P214" s="2"/>
      <c r="Q214" s="2"/>
      <c r="R214" s="2"/>
    </row>
    <row r="215" customFormat="false" ht="15" hidden="false" customHeight="false" outlineLevel="0" collapsed="false">
      <c r="A215" s="2"/>
      <c r="B215" s="2"/>
      <c r="C215" s="2"/>
      <c r="D215" s="2"/>
      <c r="E215" s="2"/>
      <c r="F215" s="2"/>
      <c r="G215" s="2"/>
      <c r="H215" s="2"/>
      <c r="I215" s="2"/>
      <c r="J215" s="2"/>
      <c r="K215" s="2"/>
      <c r="L215" s="2"/>
      <c r="M215" s="2"/>
      <c r="N215" s="2"/>
      <c r="O215" s="2"/>
      <c r="P215" s="2"/>
      <c r="Q215" s="2"/>
      <c r="R215" s="2"/>
    </row>
    <row r="216" customFormat="false" ht="15" hidden="false" customHeight="false" outlineLevel="0" collapsed="false">
      <c r="A216" s="2"/>
      <c r="B216" s="2"/>
      <c r="C216" s="2"/>
      <c r="D216" s="2"/>
      <c r="E216" s="2"/>
      <c r="F216" s="2"/>
      <c r="G216" s="2"/>
      <c r="H216" s="2"/>
      <c r="I216" s="2"/>
      <c r="J216" s="2"/>
      <c r="K216" s="2"/>
      <c r="L216" s="2"/>
      <c r="M216" s="2"/>
      <c r="N216" s="2"/>
      <c r="O216" s="2"/>
      <c r="P216" s="2"/>
      <c r="Q216" s="2"/>
      <c r="R216" s="2"/>
    </row>
    <row r="217" customFormat="false" ht="15" hidden="false" customHeight="false" outlineLevel="0" collapsed="false">
      <c r="A217" s="2"/>
      <c r="B217" s="2"/>
      <c r="C217" s="2"/>
      <c r="D217" s="2"/>
      <c r="E217" s="2"/>
      <c r="F217" s="2"/>
      <c r="G217" s="2"/>
      <c r="H217" s="2"/>
      <c r="I217" s="2"/>
      <c r="J217" s="2"/>
      <c r="K217" s="2"/>
      <c r="L217" s="2"/>
      <c r="M217" s="2"/>
      <c r="N217" s="2"/>
      <c r="O217" s="2"/>
      <c r="P217" s="2"/>
      <c r="Q217" s="2"/>
      <c r="R217" s="2"/>
    </row>
    <row r="218" customFormat="false" ht="15" hidden="false" customHeight="false" outlineLevel="0" collapsed="false">
      <c r="A218" s="2"/>
      <c r="B218" s="2"/>
      <c r="C218" s="2"/>
      <c r="D218" s="2"/>
      <c r="E218" s="2"/>
      <c r="F218" s="2"/>
      <c r="G218" s="2"/>
      <c r="H218" s="2"/>
      <c r="I218" s="2"/>
      <c r="J218" s="2"/>
      <c r="K218" s="2"/>
      <c r="L218" s="2"/>
      <c r="M218" s="2"/>
      <c r="N218" s="2"/>
      <c r="O218" s="2"/>
      <c r="P218" s="2"/>
      <c r="Q218" s="2"/>
      <c r="R218" s="2"/>
    </row>
    <row r="219" customFormat="false" ht="15" hidden="false" customHeight="false" outlineLevel="0" collapsed="false">
      <c r="A219" s="2"/>
      <c r="B219" s="2"/>
      <c r="C219" s="2"/>
      <c r="D219" s="2"/>
      <c r="E219" s="2"/>
      <c r="F219" s="2"/>
      <c r="G219" s="2"/>
      <c r="H219" s="2"/>
      <c r="I219" s="2"/>
      <c r="J219" s="2"/>
      <c r="K219" s="2"/>
      <c r="L219" s="2"/>
      <c r="M219" s="2"/>
      <c r="N219" s="2"/>
      <c r="O219" s="2"/>
      <c r="P219" s="2"/>
      <c r="Q219" s="2"/>
      <c r="R219" s="2"/>
    </row>
    <row r="220" customFormat="false" ht="15" hidden="false" customHeight="false" outlineLevel="0" collapsed="false">
      <c r="A220" s="2"/>
      <c r="B220" s="2"/>
      <c r="C220" s="2"/>
      <c r="D220" s="2"/>
      <c r="E220" s="2"/>
      <c r="F220" s="2"/>
      <c r="G220" s="2"/>
      <c r="H220" s="2"/>
      <c r="I220" s="2"/>
      <c r="J220" s="2"/>
      <c r="K220" s="2"/>
      <c r="L220" s="2"/>
      <c r="M220" s="2"/>
      <c r="N220" s="2"/>
      <c r="O220" s="2"/>
      <c r="P220" s="2"/>
      <c r="Q220" s="2"/>
      <c r="R220" s="2"/>
    </row>
    <row r="221" customFormat="false" ht="15" hidden="false" customHeight="false" outlineLevel="0" collapsed="false">
      <c r="A221" s="2"/>
      <c r="B221" s="2"/>
      <c r="C221" s="2"/>
      <c r="D221" s="2"/>
      <c r="E221" s="2"/>
      <c r="F221" s="2"/>
      <c r="G221" s="2"/>
      <c r="H221" s="2"/>
      <c r="I221" s="2"/>
      <c r="J221" s="2"/>
      <c r="K221" s="2"/>
      <c r="L221" s="2"/>
      <c r="M221" s="2"/>
      <c r="N221" s="2"/>
      <c r="O221" s="2"/>
      <c r="P221" s="2"/>
      <c r="Q221" s="2"/>
      <c r="R221" s="2"/>
    </row>
    <row r="222" customFormat="false" ht="15" hidden="false" customHeight="false" outlineLevel="0" collapsed="false">
      <c r="A222" s="2"/>
      <c r="B222" s="2"/>
      <c r="C222" s="2"/>
      <c r="D222" s="2"/>
      <c r="E222" s="2"/>
      <c r="F222" s="2"/>
      <c r="G222" s="2"/>
      <c r="H222" s="2"/>
      <c r="I222" s="2"/>
      <c r="J222" s="2"/>
      <c r="K222" s="2"/>
      <c r="L222" s="2"/>
      <c r="M222" s="2"/>
      <c r="N222" s="2"/>
      <c r="O222" s="2"/>
      <c r="P222" s="2"/>
      <c r="Q222" s="2"/>
      <c r="R222" s="2"/>
    </row>
    <row r="223" customFormat="false" ht="15" hidden="false" customHeight="false" outlineLevel="0" collapsed="false">
      <c r="A223" s="2"/>
      <c r="B223" s="2"/>
      <c r="C223" s="2"/>
      <c r="D223" s="2"/>
      <c r="E223" s="2"/>
      <c r="F223" s="2"/>
      <c r="G223" s="2"/>
      <c r="H223" s="2"/>
      <c r="I223" s="2"/>
      <c r="J223" s="2"/>
      <c r="K223" s="2"/>
      <c r="L223" s="2"/>
      <c r="M223" s="2"/>
      <c r="N223" s="2"/>
      <c r="O223" s="2"/>
      <c r="P223" s="2"/>
      <c r="Q223" s="2"/>
      <c r="R223" s="2"/>
    </row>
    <row r="224" customFormat="false" ht="15" hidden="false" customHeight="false" outlineLevel="0" collapsed="false">
      <c r="A224" s="2"/>
      <c r="B224" s="2"/>
      <c r="C224" s="2"/>
      <c r="D224" s="2"/>
      <c r="E224" s="2"/>
      <c r="F224" s="2"/>
      <c r="G224" s="2"/>
      <c r="H224" s="2"/>
      <c r="I224" s="2"/>
      <c r="J224" s="2"/>
      <c r="K224" s="2"/>
      <c r="L224" s="2"/>
      <c r="M224" s="2"/>
      <c r="N224" s="2"/>
      <c r="O224" s="2"/>
      <c r="P224" s="2"/>
      <c r="Q224" s="2"/>
      <c r="R224" s="2"/>
    </row>
    <row r="225" customFormat="false" ht="15" hidden="false" customHeight="false" outlineLevel="0" collapsed="false">
      <c r="A225" s="2"/>
      <c r="B225" s="2"/>
      <c r="C225" s="2"/>
      <c r="D225" s="2"/>
      <c r="E225" s="2"/>
      <c r="F225" s="2"/>
      <c r="G225" s="2"/>
      <c r="H225" s="2"/>
      <c r="I225" s="2"/>
      <c r="J225" s="2"/>
      <c r="K225" s="2"/>
      <c r="L225" s="2"/>
      <c r="M225" s="2"/>
      <c r="N225" s="2"/>
      <c r="O225" s="2"/>
      <c r="P225" s="2"/>
      <c r="Q225" s="2"/>
      <c r="R225" s="2"/>
    </row>
    <row r="226" customFormat="false" ht="15" hidden="false" customHeight="false" outlineLevel="0" collapsed="false">
      <c r="A226" s="2"/>
      <c r="B226" s="2"/>
      <c r="C226" s="2"/>
      <c r="D226" s="2"/>
      <c r="E226" s="2"/>
      <c r="F226" s="2"/>
      <c r="G226" s="2"/>
      <c r="H226" s="2"/>
      <c r="I226" s="2"/>
      <c r="J226" s="2"/>
      <c r="K226" s="2"/>
      <c r="L226" s="2"/>
      <c r="M226" s="2"/>
      <c r="N226" s="2"/>
      <c r="O226" s="2"/>
      <c r="P226" s="2"/>
      <c r="Q226" s="2"/>
      <c r="R226" s="2"/>
    </row>
    <row r="227" customFormat="false" ht="15" hidden="false" customHeight="false" outlineLevel="0" collapsed="false">
      <c r="A227" s="2"/>
      <c r="B227" s="2"/>
      <c r="C227" s="2"/>
      <c r="D227" s="2"/>
      <c r="E227" s="2"/>
      <c r="F227" s="2"/>
      <c r="G227" s="2"/>
      <c r="H227" s="2"/>
      <c r="I227" s="2"/>
      <c r="J227" s="2"/>
      <c r="K227" s="2"/>
      <c r="L227" s="2"/>
      <c r="M227" s="2"/>
      <c r="N227" s="2"/>
      <c r="O227" s="2"/>
      <c r="P227" s="2"/>
      <c r="Q227" s="2"/>
      <c r="R227" s="2"/>
    </row>
    <row r="228" customFormat="false" ht="15" hidden="false" customHeight="false" outlineLevel="0" collapsed="false">
      <c r="A228" s="2"/>
      <c r="B228" s="2"/>
      <c r="C228" s="2"/>
      <c r="D228" s="2"/>
      <c r="E228" s="2"/>
      <c r="F228" s="2"/>
      <c r="G228" s="2"/>
      <c r="H228" s="2"/>
      <c r="I228" s="2"/>
      <c r="J228" s="2"/>
      <c r="K228" s="2"/>
      <c r="L228" s="2"/>
      <c r="M228" s="2"/>
      <c r="N228" s="2"/>
      <c r="O228" s="2"/>
      <c r="P228" s="2"/>
      <c r="Q228" s="2"/>
      <c r="R228" s="2"/>
    </row>
    <row r="229" customFormat="false" ht="15" hidden="false" customHeight="false" outlineLevel="0" collapsed="false">
      <c r="A229" s="2"/>
      <c r="B229" s="2"/>
      <c r="C229" s="2"/>
      <c r="D229" s="2"/>
      <c r="E229" s="2"/>
      <c r="F229" s="2"/>
      <c r="G229" s="2"/>
      <c r="H229" s="2"/>
      <c r="I229" s="2"/>
      <c r="J229" s="2"/>
      <c r="K229" s="2"/>
      <c r="L229" s="2"/>
      <c r="M229" s="2"/>
      <c r="N229" s="2"/>
      <c r="O229" s="2"/>
      <c r="P229" s="2"/>
      <c r="Q229" s="2"/>
      <c r="R229" s="2"/>
    </row>
    <row r="230" customFormat="false" ht="15" hidden="false" customHeight="false" outlineLevel="0" collapsed="false">
      <c r="A230" s="2"/>
      <c r="B230" s="2"/>
      <c r="C230" s="2"/>
      <c r="D230" s="2"/>
      <c r="E230" s="2"/>
      <c r="F230" s="2"/>
      <c r="G230" s="2"/>
      <c r="H230" s="2"/>
      <c r="I230" s="2"/>
      <c r="J230" s="2"/>
      <c r="K230" s="2"/>
      <c r="L230" s="2"/>
      <c r="M230" s="2"/>
      <c r="N230" s="2"/>
      <c r="O230" s="2"/>
      <c r="P230" s="2"/>
      <c r="Q230" s="2"/>
      <c r="R230" s="2"/>
    </row>
    <row r="231" customFormat="false" ht="15" hidden="false" customHeight="false" outlineLevel="0" collapsed="false">
      <c r="A231" s="2"/>
      <c r="B231" s="2"/>
      <c r="C231" s="2"/>
      <c r="D231" s="2"/>
      <c r="E231" s="2"/>
      <c r="F231" s="2"/>
      <c r="G231" s="2"/>
      <c r="H231" s="2"/>
      <c r="I231" s="2"/>
      <c r="J231" s="2"/>
      <c r="K231" s="2"/>
      <c r="L231" s="2"/>
      <c r="M231" s="2"/>
      <c r="N231" s="2"/>
      <c r="O231" s="2"/>
      <c r="P231" s="2"/>
      <c r="Q231" s="2"/>
      <c r="R231" s="2"/>
    </row>
    <row r="232" customFormat="false" ht="15" hidden="false" customHeight="false" outlineLevel="0" collapsed="false">
      <c r="A232" s="2"/>
      <c r="B232" s="2"/>
      <c r="C232" s="2"/>
      <c r="D232" s="2"/>
      <c r="E232" s="2"/>
      <c r="F232" s="2"/>
      <c r="G232" s="2"/>
      <c r="H232" s="2"/>
      <c r="I232" s="2"/>
      <c r="J232" s="2"/>
      <c r="K232" s="2"/>
      <c r="L232" s="2"/>
      <c r="M232" s="2"/>
      <c r="N232" s="2"/>
      <c r="O232" s="2"/>
      <c r="P232" s="2"/>
      <c r="Q232" s="2"/>
      <c r="R232" s="2"/>
    </row>
    <row r="233" customFormat="false" ht="15" hidden="false" customHeight="false" outlineLevel="0" collapsed="false">
      <c r="A233" s="2"/>
      <c r="B233" s="2"/>
      <c r="C233" s="2"/>
      <c r="D233" s="2"/>
      <c r="E233" s="2"/>
      <c r="F233" s="2"/>
      <c r="G233" s="2"/>
      <c r="H233" s="2"/>
      <c r="I233" s="2"/>
      <c r="J233" s="2"/>
      <c r="K233" s="2"/>
      <c r="L233" s="2"/>
      <c r="M233" s="2"/>
      <c r="N233" s="2"/>
      <c r="O233" s="2"/>
      <c r="P233" s="2"/>
      <c r="Q233" s="2"/>
      <c r="R233" s="2"/>
    </row>
    <row r="234" customFormat="false" ht="15" hidden="false" customHeight="false" outlineLevel="0" collapsed="false">
      <c r="A234" s="2"/>
      <c r="B234" s="2"/>
      <c r="C234" s="2"/>
      <c r="D234" s="2"/>
      <c r="E234" s="2"/>
      <c r="F234" s="2"/>
      <c r="G234" s="2"/>
      <c r="H234" s="2"/>
      <c r="I234" s="2"/>
      <c r="J234" s="2"/>
      <c r="K234" s="2"/>
      <c r="L234" s="2"/>
      <c r="M234" s="2"/>
      <c r="N234" s="2"/>
      <c r="O234" s="2"/>
      <c r="P234" s="2"/>
      <c r="Q234" s="2"/>
      <c r="R234" s="2"/>
    </row>
    <row r="235" customFormat="false" ht="15" hidden="false" customHeight="false" outlineLevel="0" collapsed="false">
      <c r="A235" s="2"/>
      <c r="B235" s="2"/>
      <c r="C235" s="2"/>
      <c r="D235" s="2"/>
      <c r="E235" s="2"/>
      <c r="F235" s="2"/>
      <c r="G235" s="2"/>
      <c r="H235" s="2"/>
      <c r="I235" s="2"/>
      <c r="J235" s="2"/>
      <c r="K235" s="2"/>
      <c r="L235" s="2"/>
      <c r="M235" s="2"/>
      <c r="N235" s="2"/>
      <c r="O235" s="2"/>
      <c r="P235" s="2"/>
      <c r="Q235" s="2"/>
      <c r="R235" s="2"/>
    </row>
    <row r="236" customFormat="false" ht="15" hidden="false" customHeight="false" outlineLevel="0" collapsed="false">
      <c r="A236" s="2"/>
      <c r="B236" s="2"/>
      <c r="C236" s="2"/>
      <c r="D236" s="2"/>
      <c r="E236" s="2"/>
      <c r="F236" s="2"/>
      <c r="G236" s="2"/>
      <c r="H236" s="2"/>
      <c r="I236" s="2"/>
      <c r="J236" s="2"/>
      <c r="K236" s="2"/>
      <c r="L236" s="2"/>
      <c r="M236" s="2"/>
      <c r="N236" s="2"/>
      <c r="O236" s="2"/>
      <c r="P236" s="2"/>
      <c r="Q236" s="2"/>
      <c r="R236" s="2"/>
    </row>
    <row r="237" customFormat="false" ht="15" hidden="false" customHeight="false" outlineLevel="0" collapsed="false">
      <c r="A237" s="2"/>
      <c r="B237" s="2"/>
      <c r="C237" s="2"/>
      <c r="D237" s="2"/>
      <c r="E237" s="2"/>
      <c r="F237" s="2"/>
      <c r="G237" s="2"/>
      <c r="H237" s="2"/>
      <c r="I237" s="2"/>
      <c r="J237" s="2"/>
      <c r="K237" s="2"/>
      <c r="L237" s="2"/>
      <c r="M237" s="2"/>
      <c r="N237" s="2"/>
      <c r="O237" s="2"/>
      <c r="P237" s="2"/>
      <c r="Q237" s="2"/>
      <c r="R237" s="2"/>
    </row>
    <row r="238" customFormat="false" ht="15" hidden="false" customHeight="false" outlineLevel="0" collapsed="false">
      <c r="A238" s="2"/>
      <c r="B238" s="2"/>
      <c r="C238" s="2"/>
      <c r="D238" s="2"/>
      <c r="E238" s="2"/>
      <c r="F238" s="2"/>
      <c r="G238" s="2"/>
      <c r="H238" s="2"/>
      <c r="I238" s="2"/>
      <c r="J238" s="2"/>
      <c r="K238" s="2"/>
      <c r="L238" s="2"/>
      <c r="M238" s="2"/>
      <c r="N238" s="2"/>
      <c r="O238" s="2"/>
      <c r="P238" s="2"/>
      <c r="Q238" s="2"/>
      <c r="R238" s="2"/>
    </row>
    <row r="239" customFormat="false" ht="15" hidden="false" customHeight="false" outlineLevel="0" collapsed="false">
      <c r="A239" s="2"/>
      <c r="B239" s="2"/>
      <c r="C239" s="2"/>
      <c r="D239" s="2"/>
      <c r="E239" s="2"/>
      <c r="F239" s="2"/>
      <c r="G239" s="2"/>
      <c r="H239" s="2"/>
      <c r="I239" s="2"/>
      <c r="J239" s="2"/>
      <c r="K239" s="2"/>
      <c r="L239" s="2"/>
      <c r="M239" s="2"/>
      <c r="N239" s="2"/>
      <c r="O239" s="2"/>
      <c r="P239" s="2"/>
      <c r="Q239" s="2"/>
      <c r="R239" s="2"/>
    </row>
    <row r="240" customFormat="false" ht="15" hidden="false" customHeight="false" outlineLevel="0" collapsed="false">
      <c r="A240" s="2"/>
      <c r="B240" s="2"/>
      <c r="C240" s="2"/>
      <c r="D240" s="2"/>
      <c r="E240" s="2"/>
      <c r="F240" s="2"/>
      <c r="G240" s="2"/>
      <c r="H240" s="2"/>
      <c r="I240" s="2"/>
      <c r="J240" s="2"/>
      <c r="K240" s="2"/>
      <c r="L240" s="2"/>
      <c r="M240" s="2"/>
      <c r="N240" s="2"/>
      <c r="O240" s="2"/>
      <c r="P240" s="2"/>
      <c r="Q240" s="2"/>
      <c r="R240" s="2"/>
    </row>
    <row r="241" customFormat="false" ht="15" hidden="false" customHeight="false" outlineLevel="0" collapsed="false">
      <c r="A241" s="2"/>
      <c r="B241" s="2"/>
      <c r="C241" s="2"/>
      <c r="D241" s="2"/>
      <c r="E241" s="2"/>
      <c r="F241" s="2"/>
      <c r="G241" s="2"/>
      <c r="H241" s="2"/>
      <c r="I241" s="2"/>
      <c r="J241" s="2"/>
      <c r="K241" s="2"/>
      <c r="L241" s="2"/>
      <c r="M241" s="2"/>
      <c r="N241" s="2"/>
      <c r="O241" s="2"/>
      <c r="P241" s="2"/>
      <c r="Q241" s="2"/>
      <c r="R241" s="2"/>
    </row>
    <row r="242" customFormat="false" ht="15" hidden="false" customHeight="false" outlineLevel="0" collapsed="false">
      <c r="A242" s="2"/>
      <c r="B242" s="2"/>
      <c r="C242" s="2"/>
      <c r="D242" s="2"/>
      <c r="E242" s="2"/>
      <c r="F242" s="2"/>
      <c r="G242" s="2"/>
      <c r="H242" s="2"/>
      <c r="I242" s="2"/>
      <c r="J242" s="2"/>
      <c r="K242" s="2"/>
      <c r="L242" s="2"/>
      <c r="M242" s="2"/>
      <c r="N242" s="2"/>
      <c r="O242" s="2"/>
      <c r="P242" s="2"/>
      <c r="Q242" s="2"/>
      <c r="R242" s="2"/>
    </row>
    <row r="243" customFormat="false" ht="15" hidden="false" customHeight="false" outlineLevel="0" collapsed="false">
      <c r="A243" s="2"/>
      <c r="B243" s="2"/>
      <c r="C243" s="2"/>
      <c r="D243" s="2"/>
      <c r="E243" s="2"/>
      <c r="F243" s="2"/>
      <c r="G243" s="2"/>
      <c r="H243" s="2"/>
      <c r="I243" s="2"/>
      <c r="J243" s="2"/>
      <c r="K243" s="2"/>
      <c r="L243" s="2"/>
      <c r="M243" s="2"/>
      <c r="N243" s="2"/>
      <c r="O243" s="2"/>
      <c r="P243" s="2"/>
      <c r="Q243" s="2"/>
      <c r="R243" s="2"/>
    </row>
    <row r="244" customFormat="false" ht="15" hidden="false" customHeight="false" outlineLevel="0" collapsed="false">
      <c r="A244" s="2"/>
      <c r="B244" s="2"/>
      <c r="C244" s="2"/>
      <c r="D244" s="2"/>
      <c r="E244" s="2"/>
      <c r="F244" s="2"/>
      <c r="G244" s="2"/>
      <c r="H244" s="2"/>
      <c r="I244" s="2"/>
      <c r="J244" s="2"/>
      <c r="K244" s="2"/>
      <c r="L244" s="2"/>
      <c r="M244" s="2"/>
      <c r="N244" s="2"/>
      <c r="O244" s="2"/>
      <c r="P244" s="2"/>
      <c r="Q244" s="2"/>
      <c r="R244" s="2"/>
    </row>
    <row r="245" customFormat="false" ht="15" hidden="false" customHeight="false" outlineLevel="0" collapsed="false">
      <c r="A245" s="2"/>
      <c r="B245" s="2"/>
      <c r="C245" s="2"/>
      <c r="D245" s="2"/>
      <c r="E245" s="2"/>
      <c r="F245" s="2"/>
      <c r="G245" s="2"/>
      <c r="H245" s="2"/>
      <c r="I245" s="2"/>
      <c r="J245" s="2"/>
      <c r="K245" s="2"/>
      <c r="L245" s="2"/>
      <c r="M245" s="2"/>
      <c r="N245" s="2"/>
      <c r="O245" s="2"/>
      <c r="P245" s="2"/>
      <c r="Q245" s="2"/>
      <c r="R245" s="2"/>
    </row>
    <row r="246" customFormat="false" ht="15" hidden="false" customHeight="false" outlineLevel="0" collapsed="false">
      <c r="A246" s="2"/>
      <c r="B246" s="2"/>
      <c r="C246" s="2"/>
      <c r="D246" s="2"/>
      <c r="E246" s="2"/>
      <c r="F246" s="2"/>
      <c r="G246" s="2"/>
      <c r="H246" s="2"/>
      <c r="I246" s="2"/>
      <c r="J246" s="2"/>
      <c r="K246" s="2"/>
      <c r="L246" s="2"/>
      <c r="M246" s="2"/>
      <c r="N246" s="2"/>
      <c r="O246" s="2"/>
      <c r="P246" s="2"/>
      <c r="Q246" s="2"/>
      <c r="R246" s="2"/>
    </row>
    <row r="247" customFormat="false" ht="15" hidden="false" customHeight="false" outlineLevel="0" collapsed="false">
      <c r="A247" s="2"/>
      <c r="B247" s="2"/>
      <c r="C247" s="2"/>
      <c r="D247" s="2"/>
      <c r="E247" s="2"/>
      <c r="F247" s="2"/>
      <c r="G247" s="2"/>
      <c r="H247" s="2"/>
      <c r="I247" s="2"/>
      <c r="J247" s="2"/>
      <c r="K247" s="2"/>
      <c r="L247" s="2"/>
      <c r="M247" s="2"/>
      <c r="N247" s="2"/>
      <c r="O247" s="2"/>
      <c r="P247" s="2"/>
      <c r="Q247" s="2"/>
      <c r="R247" s="2"/>
    </row>
    <row r="248" customFormat="false" ht="15" hidden="false" customHeight="false" outlineLevel="0" collapsed="false">
      <c r="A248" s="2"/>
      <c r="B248" s="2"/>
      <c r="C248" s="2"/>
      <c r="D248" s="2"/>
      <c r="E248" s="2"/>
      <c r="F248" s="2"/>
      <c r="G248" s="2"/>
      <c r="H248" s="2"/>
      <c r="I248" s="2"/>
      <c r="J248" s="2"/>
      <c r="K248" s="2"/>
      <c r="L248" s="2"/>
      <c r="M248" s="2"/>
      <c r="N248" s="2"/>
      <c r="O248" s="2"/>
      <c r="P248" s="2"/>
      <c r="Q248" s="2"/>
      <c r="R248" s="2"/>
    </row>
    <row r="249" customFormat="false" ht="15" hidden="false" customHeight="false" outlineLevel="0" collapsed="false">
      <c r="A249" s="2"/>
      <c r="B249" s="2"/>
      <c r="C249" s="2"/>
      <c r="D249" s="2"/>
      <c r="E249" s="2"/>
      <c r="F249" s="2"/>
      <c r="G249" s="2"/>
      <c r="H249" s="2"/>
      <c r="I249" s="2"/>
      <c r="J249" s="2"/>
      <c r="K249" s="2"/>
      <c r="L249" s="2"/>
      <c r="M249" s="2"/>
      <c r="N249" s="2"/>
      <c r="O249" s="2"/>
      <c r="P249" s="2"/>
      <c r="Q249" s="2"/>
      <c r="R249" s="2"/>
    </row>
    <row r="250" customFormat="false" ht="15" hidden="false" customHeight="false" outlineLevel="0" collapsed="false">
      <c r="A250" s="2"/>
      <c r="B250" s="2"/>
      <c r="C250" s="2"/>
      <c r="D250" s="2"/>
      <c r="E250" s="2"/>
      <c r="F250" s="2"/>
      <c r="G250" s="2"/>
      <c r="H250" s="2"/>
      <c r="I250" s="2"/>
      <c r="J250" s="2"/>
      <c r="K250" s="2"/>
      <c r="L250" s="2"/>
      <c r="M250" s="2"/>
      <c r="N250" s="2"/>
      <c r="O250" s="2"/>
      <c r="P250" s="2"/>
      <c r="Q250" s="2"/>
      <c r="R250" s="2"/>
    </row>
    <row r="251" customFormat="false" ht="15" hidden="false" customHeight="false" outlineLevel="0" collapsed="false">
      <c r="A251" s="2"/>
      <c r="B251" s="2"/>
      <c r="C251" s="2"/>
      <c r="D251" s="2"/>
      <c r="E251" s="2"/>
      <c r="F251" s="2"/>
      <c r="G251" s="2"/>
      <c r="H251" s="2"/>
      <c r="I251" s="2"/>
      <c r="J251" s="2"/>
      <c r="K251" s="2"/>
      <c r="L251" s="2"/>
      <c r="M251" s="2"/>
      <c r="N251" s="2"/>
      <c r="O251" s="2"/>
      <c r="P251" s="2"/>
      <c r="Q251" s="2"/>
      <c r="R251" s="2"/>
    </row>
    <row r="252" customFormat="false" ht="15" hidden="false" customHeight="false" outlineLevel="0" collapsed="false">
      <c r="A252" s="2"/>
      <c r="B252" s="2"/>
      <c r="C252" s="2"/>
      <c r="D252" s="2"/>
      <c r="E252" s="2"/>
      <c r="F252" s="2"/>
      <c r="G252" s="2"/>
      <c r="H252" s="2"/>
      <c r="I252" s="2"/>
      <c r="J252" s="2"/>
      <c r="K252" s="2"/>
      <c r="L252" s="2"/>
      <c r="M252" s="2"/>
      <c r="N252" s="2"/>
      <c r="O252" s="2"/>
      <c r="P252" s="2"/>
      <c r="Q252" s="2"/>
      <c r="R252" s="2"/>
    </row>
    <row r="253" customFormat="false" ht="15" hidden="false" customHeight="false" outlineLevel="0" collapsed="false">
      <c r="A253" s="2"/>
      <c r="B253" s="2"/>
      <c r="C253" s="2"/>
      <c r="D253" s="2"/>
      <c r="E253" s="2"/>
      <c r="F253" s="2"/>
      <c r="G253" s="2"/>
      <c r="H253" s="2"/>
      <c r="I253" s="2"/>
      <c r="J253" s="2"/>
      <c r="K253" s="2"/>
      <c r="L253" s="2"/>
      <c r="M253" s="2"/>
      <c r="N253" s="2"/>
      <c r="O253" s="2"/>
      <c r="P253" s="2"/>
      <c r="Q253" s="2"/>
      <c r="R253" s="2"/>
    </row>
    <row r="254" customFormat="false" ht="15" hidden="false" customHeight="false" outlineLevel="0" collapsed="false">
      <c r="A254" s="2"/>
      <c r="B254" s="2"/>
      <c r="C254" s="2"/>
      <c r="D254" s="2"/>
      <c r="E254" s="2"/>
      <c r="F254" s="2"/>
      <c r="G254" s="2"/>
      <c r="H254" s="2"/>
      <c r="I254" s="2"/>
      <c r="J254" s="2"/>
      <c r="K254" s="2"/>
      <c r="L254" s="2"/>
      <c r="M254" s="2"/>
      <c r="N254" s="2"/>
      <c r="O254" s="2"/>
      <c r="P254" s="2"/>
      <c r="Q254" s="2"/>
      <c r="R254" s="2"/>
    </row>
    <row r="255" customFormat="false" ht="15" hidden="false" customHeight="false" outlineLevel="0" collapsed="false">
      <c r="A255" s="2"/>
      <c r="B255" s="2"/>
      <c r="C255" s="2"/>
      <c r="D255" s="2"/>
      <c r="E255" s="2"/>
      <c r="F255" s="2"/>
      <c r="G255" s="2"/>
      <c r="H255" s="2"/>
      <c r="I255" s="2"/>
      <c r="J255" s="2"/>
      <c r="K255" s="2"/>
      <c r="L255" s="2"/>
      <c r="M255" s="2"/>
      <c r="N255" s="2"/>
      <c r="O255" s="2"/>
      <c r="P255" s="2"/>
      <c r="Q255" s="2"/>
      <c r="R255" s="2"/>
    </row>
    <row r="256" customFormat="false" ht="15" hidden="false" customHeight="false" outlineLevel="0" collapsed="false">
      <c r="A256" s="2"/>
      <c r="B256" s="2"/>
      <c r="C256" s="2"/>
      <c r="D256" s="2"/>
      <c r="E256" s="2"/>
      <c r="F256" s="2"/>
      <c r="G256" s="2"/>
      <c r="H256" s="2"/>
      <c r="I256" s="2"/>
      <c r="J256" s="2"/>
      <c r="K256" s="2"/>
      <c r="L256" s="2"/>
      <c r="M256" s="2"/>
      <c r="N256" s="2"/>
      <c r="O256" s="2"/>
      <c r="P256" s="2"/>
      <c r="Q256" s="2"/>
      <c r="R256" s="2"/>
    </row>
    <row r="257" customFormat="false" ht="15" hidden="false" customHeight="false" outlineLevel="0" collapsed="false">
      <c r="A257" s="2"/>
      <c r="B257" s="2"/>
      <c r="C257" s="2"/>
      <c r="D257" s="2"/>
      <c r="E257" s="2"/>
      <c r="F257" s="2"/>
      <c r="G257" s="2"/>
      <c r="H257" s="2"/>
      <c r="I257" s="2"/>
      <c r="J257" s="2"/>
      <c r="K257" s="2"/>
      <c r="L257" s="2"/>
      <c r="M257" s="2"/>
      <c r="N257" s="2"/>
      <c r="O257" s="2"/>
      <c r="P257" s="2"/>
      <c r="Q257" s="2"/>
      <c r="R257" s="2"/>
    </row>
    <row r="258" customFormat="false" ht="15" hidden="false" customHeight="false" outlineLevel="0" collapsed="false">
      <c r="A258" s="2"/>
      <c r="B258" s="2"/>
      <c r="C258" s="2"/>
      <c r="D258" s="2"/>
      <c r="E258" s="2"/>
      <c r="F258" s="2"/>
      <c r="G258" s="2"/>
      <c r="H258" s="2"/>
      <c r="I258" s="2"/>
      <c r="J258" s="2"/>
      <c r="K258" s="2"/>
      <c r="L258" s="2"/>
      <c r="M258" s="2"/>
      <c r="N258" s="2"/>
      <c r="O258" s="2"/>
      <c r="P258" s="2"/>
      <c r="Q258" s="2"/>
      <c r="R258" s="2"/>
    </row>
    <row r="259" customFormat="false" ht="15" hidden="false" customHeight="false" outlineLevel="0" collapsed="false">
      <c r="A259" s="2"/>
      <c r="B259" s="2"/>
      <c r="C259" s="2"/>
      <c r="D259" s="2"/>
      <c r="E259" s="2"/>
      <c r="F259" s="2"/>
      <c r="G259" s="2"/>
      <c r="H259" s="2"/>
      <c r="I259" s="2"/>
      <c r="J259" s="2"/>
      <c r="K259" s="2"/>
      <c r="L259" s="2"/>
      <c r="M259" s="2"/>
      <c r="N259" s="2"/>
      <c r="O259" s="2"/>
      <c r="P259" s="2"/>
      <c r="Q259" s="2"/>
      <c r="R259" s="2"/>
    </row>
    <row r="260" customFormat="false" ht="15" hidden="false" customHeight="false" outlineLevel="0" collapsed="false">
      <c r="A260" s="2"/>
      <c r="B260" s="2"/>
      <c r="C260" s="2"/>
      <c r="D260" s="2"/>
      <c r="E260" s="2"/>
      <c r="F260" s="2"/>
      <c r="G260" s="2"/>
      <c r="H260" s="2"/>
      <c r="I260" s="2"/>
      <c r="J260" s="2"/>
      <c r="K260" s="2"/>
      <c r="L260" s="2"/>
      <c r="M260" s="2"/>
      <c r="N260" s="2"/>
      <c r="O260" s="2"/>
      <c r="P260" s="2"/>
      <c r="Q260" s="2"/>
      <c r="R260" s="2"/>
    </row>
    <row r="261" customFormat="false" ht="15" hidden="false" customHeight="false" outlineLevel="0" collapsed="false">
      <c r="A261" s="2"/>
      <c r="B261" s="2"/>
      <c r="C261" s="2"/>
      <c r="D261" s="2"/>
      <c r="E261" s="2"/>
      <c r="F261" s="2"/>
      <c r="G261" s="2"/>
      <c r="H261" s="2"/>
      <c r="I261" s="2"/>
      <c r="J261" s="2"/>
      <c r="K261" s="2"/>
      <c r="L261" s="2"/>
      <c r="M261" s="2"/>
      <c r="N261" s="2"/>
      <c r="O261" s="2"/>
      <c r="P261" s="2"/>
      <c r="Q261" s="2"/>
      <c r="R261" s="2"/>
    </row>
    <row r="262" customFormat="false" ht="15" hidden="false" customHeight="false" outlineLevel="0" collapsed="false">
      <c r="A262" s="2"/>
      <c r="B262" s="2"/>
      <c r="C262" s="2"/>
      <c r="D262" s="2"/>
      <c r="E262" s="2"/>
      <c r="F262" s="2"/>
      <c r="G262" s="2"/>
      <c r="H262" s="2"/>
      <c r="I262" s="2"/>
      <c r="J262" s="2"/>
      <c r="K262" s="2"/>
      <c r="L262" s="2"/>
      <c r="M262" s="2"/>
      <c r="N262" s="2"/>
      <c r="O262" s="2"/>
      <c r="P262" s="2"/>
      <c r="Q262" s="2"/>
      <c r="R262" s="2"/>
    </row>
    <row r="263" customFormat="false" ht="15" hidden="false" customHeight="false" outlineLevel="0" collapsed="false">
      <c r="A263" s="2"/>
      <c r="B263" s="2"/>
      <c r="C263" s="2"/>
      <c r="D263" s="2"/>
      <c r="E263" s="2"/>
      <c r="F263" s="2"/>
      <c r="G263" s="2"/>
      <c r="H263" s="2"/>
      <c r="I263" s="2"/>
      <c r="J263" s="2"/>
      <c r="K263" s="2"/>
      <c r="L263" s="2"/>
      <c r="M263" s="2"/>
      <c r="N263" s="2"/>
      <c r="O263" s="2"/>
      <c r="P263" s="2"/>
      <c r="Q263" s="2"/>
      <c r="R263" s="2"/>
    </row>
    <row r="264" customFormat="false" ht="15" hidden="false" customHeight="false" outlineLevel="0" collapsed="false">
      <c r="A264" s="2"/>
      <c r="B264" s="2"/>
      <c r="C264" s="2"/>
      <c r="D264" s="2"/>
      <c r="E264" s="2"/>
      <c r="F264" s="2"/>
      <c r="G264" s="2"/>
      <c r="H264" s="2"/>
      <c r="I264" s="2"/>
      <c r="J264" s="2"/>
      <c r="K264" s="2"/>
      <c r="L264" s="2"/>
      <c r="M264" s="2"/>
      <c r="N264" s="2"/>
      <c r="O264" s="2"/>
      <c r="P264" s="2"/>
      <c r="Q264" s="2"/>
      <c r="R264" s="2"/>
    </row>
    <row r="265" customFormat="false" ht="15" hidden="false" customHeight="false" outlineLevel="0" collapsed="false">
      <c r="A265" s="2"/>
      <c r="B265" s="2"/>
      <c r="C265" s="2"/>
      <c r="D265" s="2"/>
      <c r="E265" s="2"/>
      <c r="F265" s="2"/>
      <c r="G265" s="2"/>
      <c r="H265" s="2"/>
      <c r="I265" s="2"/>
      <c r="J265" s="2"/>
      <c r="K265" s="2"/>
      <c r="L265" s="2"/>
      <c r="M265" s="2"/>
      <c r="N265" s="2"/>
      <c r="O265" s="2"/>
      <c r="P265" s="2"/>
      <c r="Q265" s="2"/>
      <c r="R265" s="2"/>
    </row>
    <row r="266" customFormat="false" ht="15" hidden="false" customHeight="false" outlineLevel="0" collapsed="false">
      <c r="A266" s="2"/>
      <c r="B266" s="2"/>
      <c r="C266" s="2"/>
      <c r="D266" s="2"/>
      <c r="E266" s="2"/>
      <c r="F266" s="2"/>
      <c r="G266" s="2"/>
      <c r="H266" s="2"/>
      <c r="I266" s="2"/>
      <c r="J266" s="2"/>
      <c r="K266" s="2"/>
      <c r="L266" s="2"/>
      <c r="M266" s="2"/>
      <c r="N266" s="2"/>
      <c r="O266" s="2"/>
      <c r="P266" s="2"/>
      <c r="Q266" s="2"/>
      <c r="R266" s="2"/>
    </row>
    <row r="267" customFormat="false" ht="15" hidden="false" customHeight="false" outlineLevel="0" collapsed="false">
      <c r="A267" s="2"/>
      <c r="B267" s="2"/>
      <c r="C267" s="2"/>
      <c r="D267" s="2"/>
      <c r="E267" s="2"/>
      <c r="F267" s="2"/>
      <c r="G267" s="2"/>
      <c r="H267" s="2"/>
      <c r="I267" s="2"/>
      <c r="J267" s="2"/>
      <c r="K267" s="2"/>
      <c r="L267" s="2"/>
      <c r="M267" s="2"/>
      <c r="N267" s="2"/>
      <c r="O267" s="2"/>
      <c r="P267" s="2"/>
      <c r="Q267" s="2"/>
      <c r="R267" s="2"/>
    </row>
    <row r="268" customFormat="false" ht="15" hidden="false" customHeight="false" outlineLevel="0" collapsed="false">
      <c r="A268" s="2"/>
      <c r="B268" s="2"/>
      <c r="C268" s="2"/>
      <c r="D268" s="2"/>
      <c r="E268" s="2"/>
      <c r="F268" s="2"/>
      <c r="G268" s="2"/>
      <c r="H268" s="2"/>
      <c r="I268" s="2"/>
      <c r="J268" s="2"/>
      <c r="K268" s="2"/>
      <c r="L268" s="2"/>
      <c r="M268" s="2"/>
      <c r="N268" s="2"/>
      <c r="O268" s="2"/>
      <c r="P268" s="2"/>
      <c r="Q268" s="2"/>
      <c r="R268" s="2"/>
    </row>
    <row r="269" customFormat="false" ht="15" hidden="false" customHeight="false" outlineLevel="0" collapsed="false">
      <c r="A269" s="2"/>
      <c r="B269" s="2"/>
      <c r="C269" s="2"/>
      <c r="D269" s="2"/>
      <c r="E269" s="2"/>
      <c r="F269" s="2"/>
      <c r="G269" s="2"/>
      <c r="H269" s="2"/>
      <c r="I269" s="2"/>
      <c r="J269" s="2"/>
      <c r="K269" s="2"/>
      <c r="L269" s="2"/>
      <c r="M269" s="2"/>
      <c r="N269" s="2"/>
      <c r="O269" s="2"/>
      <c r="P269" s="2"/>
      <c r="Q269" s="2"/>
      <c r="R269" s="2"/>
    </row>
    <row r="270" customFormat="false" ht="15" hidden="false" customHeight="false" outlineLevel="0" collapsed="false">
      <c r="A270" s="2"/>
      <c r="B270" s="2"/>
      <c r="C270" s="2"/>
      <c r="D270" s="2"/>
      <c r="E270" s="2"/>
      <c r="F270" s="2"/>
      <c r="G270" s="2"/>
      <c r="H270" s="2"/>
      <c r="I270" s="2"/>
      <c r="J270" s="2"/>
      <c r="K270" s="2"/>
    </row>
    <row r="271" customFormat="false" ht="15" hidden="false" customHeight="false" outlineLevel="0" collapsed="false">
      <c r="A271" s="2"/>
      <c r="B271" s="2"/>
      <c r="C271" s="2"/>
      <c r="D271" s="2"/>
      <c r="E271" s="2"/>
      <c r="F271" s="2"/>
      <c r="G271" s="2"/>
      <c r="H271" s="2"/>
      <c r="I271" s="2"/>
      <c r="J271" s="2"/>
      <c r="K271" s="2"/>
    </row>
    <row r="272" customFormat="false" ht="15" hidden="false" customHeight="false" outlineLevel="0" collapsed="false">
      <c r="A272" s="2"/>
      <c r="B272" s="2"/>
      <c r="C272" s="2"/>
      <c r="D272" s="2"/>
      <c r="E272" s="2"/>
      <c r="F272" s="2"/>
      <c r="G272" s="2"/>
      <c r="H272" s="2"/>
      <c r="I272" s="2"/>
      <c r="J272" s="2"/>
      <c r="K272" s="2"/>
    </row>
    <row r="273" customFormat="false" ht="15" hidden="false" customHeight="false" outlineLevel="0" collapsed="false">
      <c r="A273" s="2"/>
      <c r="B273" s="2"/>
      <c r="C273" s="2"/>
      <c r="D273" s="2"/>
      <c r="E273" s="2"/>
      <c r="F273" s="2"/>
      <c r="G273" s="2"/>
      <c r="H273" s="2"/>
      <c r="I273" s="2"/>
      <c r="J273" s="2"/>
      <c r="K273" s="2"/>
    </row>
    <row r="274" customFormat="false" ht="15" hidden="false" customHeight="false" outlineLevel="0" collapsed="false">
      <c r="A274" s="2"/>
      <c r="B274" s="2"/>
      <c r="C274" s="2"/>
      <c r="D274" s="2"/>
      <c r="E274" s="2"/>
      <c r="F274" s="2"/>
      <c r="G274" s="2"/>
      <c r="H274" s="2"/>
      <c r="I274" s="2"/>
      <c r="J274" s="2"/>
      <c r="K274" s="2"/>
    </row>
    <row r="275" customFormat="false" ht="15" hidden="false" customHeight="false" outlineLevel="0" collapsed="false">
      <c r="A275" s="2"/>
      <c r="B275" s="2"/>
      <c r="C275" s="2"/>
      <c r="D275" s="2"/>
      <c r="E275" s="2"/>
      <c r="F275" s="2"/>
      <c r="G275" s="2"/>
      <c r="H275" s="2"/>
      <c r="I275" s="2"/>
      <c r="J275" s="2"/>
      <c r="K275" s="2"/>
    </row>
    <row r="276" customFormat="false" ht="15" hidden="false" customHeight="false" outlineLevel="0" collapsed="false">
      <c r="A276" s="2"/>
      <c r="B276" s="2"/>
      <c r="C276" s="2"/>
      <c r="D276" s="2"/>
      <c r="E276" s="2"/>
      <c r="F276" s="2"/>
      <c r="G276" s="2"/>
      <c r="H276" s="2"/>
      <c r="I276" s="2"/>
      <c r="J276" s="2"/>
      <c r="K276" s="2"/>
    </row>
    <row r="277" customFormat="false" ht="15" hidden="false" customHeight="false" outlineLevel="0" collapsed="false">
      <c r="A277" s="2"/>
      <c r="B277" s="2"/>
      <c r="C277" s="2"/>
      <c r="D277" s="2"/>
      <c r="E277" s="2"/>
      <c r="F277" s="2"/>
      <c r="G277" s="2"/>
      <c r="H277" s="2"/>
      <c r="I277" s="2"/>
      <c r="J277" s="2"/>
      <c r="K277" s="2"/>
    </row>
    <row r="278" customFormat="false" ht="15" hidden="false" customHeight="false" outlineLevel="0" collapsed="false">
      <c r="A278" s="2"/>
      <c r="B278" s="2"/>
      <c r="C278" s="2"/>
      <c r="D278" s="2"/>
      <c r="E278" s="2"/>
      <c r="F278" s="2"/>
      <c r="G278" s="2"/>
      <c r="H278" s="2"/>
      <c r="I278" s="2"/>
      <c r="J278" s="2"/>
      <c r="K278" s="2"/>
    </row>
    <row r="279" customFormat="false" ht="15" hidden="false" customHeight="false" outlineLevel="0" collapsed="false">
      <c r="A279" s="2"/>
      <c r="B279" s="2"/>
      <c r="C279" s="2"/>
      <c r="D279" s="2"/>
      <c r="E279" s="2"/>
      <c r="F279" s="2"/>
      <c r="G279" s="2"/>
      <c r="H279" s="2"/>
      <c r="I279" s="2"/>
      <c r="J279" s="2"/>
      <c r="K279" s="2"/>
    </row>
    <row r="280" customFormat="false" ht="15" hidden="false" customHeight="false" outlineLevel="0" collapsed="false">
      <c r="A280" s="2"/>
      <c r="B280" s="2"/>
      <c r="C280" s="2"/>
      <c r="D280" s="2"/>
      <c r="E280" s="2"/>
      <c r="F280" s="2"/>
      <c r="G280" s="2"/>
      <c r="H280" s="2"/>
      <c r="I280" s="2"/>
      <c r="J280" s="2"/>
      <c r="K280" s="2"/>
    </row>
    <row r="281" customFormat="false" ht="15" hidden="false" customHeight="false" outlineLevel="0" collapsed="false">
      <c r="A281" s="2"/>
      <c r="B281" s="2"/>
      <c r="C281" s="2"/>
      <c r="D281" s="2"/>
      <c r="E281" s="2"/>
      <c r="F281" s="2"/>
      <c r="G281" s="2"/>
      <c r="H281" s="2"/>
      <c r="I281" s="2"/>
      <c r="J281" s="2"/>
      <c r="K281" s="2"/>
    </row>
    <row r="282" customFormat="false" ht="15" hidden="false" customHeight="false" outlineLevel="0" collapsed="false">
      <c r="A282" s="2"/>
      <c r="B282" s="2"/>
      <c r="C282" s="2"/>
      <c r="D282" s="2"/>
      <c r="E282" s="2"/>
      <c r="F282" s="2"/>
      <c r="G282" s="2"/>
      <c r="H282" s="2"/>
      <c r="I282" s="2"/>
      <c r="J282" s="2"/>
      <c r="K282" s="2"/>
    </row>
    <row r="283" customFormat="false" ht="15" hidden="false" customHeight="false" outlineLevel="0" collapsed="false">
      <c r="A283" s="2"/>
      <c r="B283" s="2"/>
      <c r="C283" s="2"/>
      <c r="D283" s="2"/>
      <c r="E283" s="2"/>
      <c r="F283" s="2"/>
      <c r="G283" s="2"/>
      <c r="H283" s="2"/>
      <c r="I283" s="2"/>
      <c r="J283" s="2"/>
      <c r="K283" s="2"/>
    </row>
    <row r="284" customFormat="false" ht="15" hidden="false" customHeight="false" outlineLevel="0" collapsed="false">
      <c r="A284" s="2"/>
      <c r="B284" s="2"/>
      <c r="C284" s="2"/>
      <c r="D284" s="2"/>
      <c r="E284" s="2"/>
      <c r="F284" s="2"/>
      <c r="G284" s="2"/>
      <c r="H284" s="2"/>
      <c r="I284" s="2"/>
      <c r="J284" s="2"/>
      <c r="K284" s="2"/>
    </row>
    <row r="285" customFormat="false" ht="15" hidden="false" customHeight="false" outlineLevel="0" collapsed="false">
      <c r="A285" s="2"/>
      <c r="B285" s="2"/>
      <c r="C285" s="2"/>
      <c r="D285" s="2"/>
      <c r="E285" s="2"/>
      <c r="F285" s="2"/>
      <c r="G285" s="2"/>
      <c r="H285" s="2"/>
      <c r="I285" s="2"/>
      <c r="J285" s="2"/>
      <c r="K285" s="2"/>
    </row>
    <row r="286" customFormat="false" ht="15" hidden="false" customHeight="false" outlineLevel="0" collapsed="false">
      <c r="A286" s="2"/>
      <c r="B286" s="2"/>
      <c r="C286" s="2"/>
      <c r="D286" s="2"/>
      <c r="E286" s="2"/>
      <c r="F286" s="2"/>
      <c r="G286" s="2"/>
      <c r="H286" s="2"/>
      <c r="I286" s="2"/>
      <c r="J286" s="2"/>
      <c r="K286" s="2"/>
    </row>
    <row r="287" customFormat="false" ht="15" hidden="false" customHeight="false" outlineLevel="0" collapsed="false">
      <c r="A287" s="2"/>
      <c r="B287" s="2"/>
      <c r="C287" s="2"/>
      <c r="D287" s="2"/>
      <c r="E287" s="2"/>
      <c r="F287" s="2"/>
      <c r="G287" s="2"/>
      <c r="H287" s="2"/>
      <c r="I287" s="2"/>
      <c r="J287" s="2"/>
      <c r="K287" s="2"/>
    </row>
    <row r="288" customFormat="false" ht="15" hidden="false" customHeight="false" outlineLevel="0" collapsed="false">
      <c r="A288" s="2"/>
      <c r="B288" s="2"/>
      <c r="C288" s="2"/>
      <c r="D288" s="2"/>
      <c r="E288" s="2"/>
      <c r="F288" s="2"/>
      <c r="G288" s="2"/>
      <c r="H288" s="2"/>
      <c r="I288" s="2"/>
      <c r="J288" s="2"/>
      <c r="K288" s="2"/>
    </row>
    <row r="289" customFormat="false" ht="15" hidden="false" customHeight="false" outlineLevel="0" collapsed="false">
      <c r="A289" s="2"/>
      <c r="B289" s="2"/>
      <c r="C289" s="2"/>
      <c r="D289" s="2"/>
      <c r="E289" s="2"/>
      <c r="F289" s="2"/>
      <c r="G289" s="2"/>
      <c r="H289" s="2"/>
      <c r="I289" s="2"/>
      <c r="J289" s="2"/>
      <c r="K289" s="2"/>
    </row>
    <row r="290" customFormat="false" ht="15" hidden="false" customHeight="false" outlineLevel="0" collapsed="false">
      <c r="A290" s="2"/>
      <c r="B290" s="2"/>
      <c r="C290" s="2"/>
      <c r="D290" s="2"/>
      <c r="E290" s="2"/>
      <c r="F290" s="2"/>
      <c r="G290" s="2"/>
      <c r="H290" s="2"/>
      <c r="I290" s="2"/>
      <c r="J290" s="2"/>
      <c r="K290" s="2"/>
    </row>
    <row r="291" customFormat="false" ht="15" hidden="false" customHeight="false" outlineLevel="0" collapsed="false">
      <c r="A291" s="2"/>
      <c r="B291" s="2"/>
      <c r="C291" s="2"/>
      <c r="D291" s="2"/>
      <c r="E291" s="2"/>
      <c r="F291" s="2"/>
      <c r="G291" s="2"/>
      <c r="H291" s="2"/>
      <c r="I291" s="2"/>
      <c r="J291" s="2"/>
      <c r="K291" s="2"/>
    </row>
    <row r="292" customFormat="false" ht="15" hidden="false" customHeight="false" outlineLevel="0" collapsed="false">
      <c r="A292" s="2"/>
      <c r="B292" s="2"/>
      <c r="C292" s="2"/>
      <c r="D292" s="2"/>
      <c r="E292" s="2"/>
      <c r="F292" s="2"/>
      <c r="G292" s="2"/>
      <c r="H292" s="2"/>
      <c r="I292" s="2"/>
      <c r="J292" s="2"/>
      <c r="K292" s="2"/>
    </row>
    <row r="293" customFormat="false" ht="15" hidden="false" customHeight="false" outlineLevel="0" collapsed="false">
      <c r="A293" s="2"/>
      <c r="B293" s="2"/>
      <c r="C293" s="2"/>
      <c r="D293" s="2"/>
      <c r="E293" s="2"/>
      <c r="F293" s="2"/>
      <c r="G293" s="2"/>
      <c r="H293" s="2"/>
      <c r="I293" s="2"/>
      <c r="J293" s="2"/>
      <c r="K293" s="2"/>
    </row>
    <row r="294" customFormat="false" ht="15" hidden="false" customHeight="false" outlineLevel="0" collapsed="false">
      <c r="A294" s="2"/>
      <c r="B294" s="2"/>
      <c r="C294" s="2"/>
      <c r="D294" s="2"/>
      <c r="E294" s="2"/>
      <c r="F294" s="2"/>
      <c r="G294" s="2"/>
      <c r="H294" s="2"/>
      <c r="I294" s="2"/>
      <c r="J294" s="2"/>
      <c r="K294" s="2"/>
    </row>
    <row r="295" customFormat="false" ht="15" hidden="false" customHeight="false" outlineLevel="0" collapsed="false">
      <c r="A295" s="2"/>
      <c r="B295" s="2"/>
      <c r="C295" s="2"/>
      <c r="D295" s="2"/>
      <c r="E295" s="2"/>
      <c r="F295" s="2"/>
      <c r="G295" s="2"/>
      <c r="H295" s="2"/>
      <c r="I295" s="2"/>
      <c r="J295" s="2"/>
      <c r="K295" s="2"/>
    </row>
    <row r="296" customFormat="false" ht="15" hidden="false" customHeight="false" outlineLevel="0" collapsed="false">
      <c r="A296" s="2"/>
      <c r="H296" s="2"/>
      <c r="I296" s="2"/>
      <c r="J296" s="2"/>
      <c r="K296" s="2"/>
    </row>
    <row r="297" customFormat="false" ht="15" hidden="false" customHeight="false" outlineLevel="0" collapsed="false">
      <c r="A297" s="2"/>
      <c r="H297" s="2"/>
      <c r="I297" s="2"/>
      <c r="J297" s="2"/>
      <c r="K297" s="2"/>
    </row>
    <row r="298" customFormat="false" ht="15" hidden="false" customHeight="false" outlineLevel="0" collapsed="false">
      <c r="A298" s="2"/>
      <c r="H298" s="2"/>
      <c r="I298" s="2"/>
      <c r="J298" s="2"/>
      <c r="K298" s="2"/>
    </row>
    <row r="299" customFormat="false" ht="15" hidden="false" customHeight="false" outlineLevel="0" collapsed="false">
      <c r="A299" s="2"/>
      <c r="I299" s="2"/>
      <c r="J299" s="2"/>
      <c r="K299" s="2"/>
    </row>
    <row r="300" customFormat="false" ht="15" hidden="false" customHeight="false" outlineLevel="0" collapsed="false">
      <c r="A300" s="2"/>
      <c r="I300" s="2"/>
      <c r="J300" s="2"/>
      <c r="K300" s="2"/>
    </row>
    <row r="301" customFormat="false" ht="15" hidden="false" customHeight="false" outlineLevel="0" collapsed="false">
      <c r="A301" s="2"/>
      <c r="I301" s="2"/>
      <c r="J301" s="2"/>
      <c r="K301" s="2"/>
    </row>
    <row r="302" customFormat="false" ht="15" hidden="false" customHeight="false" outlineLevel="0" collapsed="false">
      <c r="A302" s="2"/>
      <c r="I302" s="2"/>
      <c r="J302" s="2"/>
      <c r="K302" s="2"/>
    </row>
    <row r="303" customFormat="false" ht="15" hidden="false" customHeight="false" outlineLevel="0" collapsed="false">
      <c r="A303" s="2"/>
      <c r="I303" s="2"/>
      <c r="J303" s="2"/>
      <c r="K303" s="2"/>
    </row>
    <row r="304" customFormat="false" ht="15" hidden="false" customHeight="false" outlineLevel="0" collapsed="false">
      <c r="A304" s="2"/>
      <c r="I304" s="2"/>
      <c r="J304" s="2"/>
      <c r="K304" s="2"/>
    </row>
    <row r="305" customFormat="false" ht="15" hidden="false" customHeight="false" outlineLevel="0" collapsed="false">
      <c r="A305" s="2"/>
      <c r="I305" s="2"/>
      <c r="J305" s="2"/>
      <c r="K305" s="2"/>
    </row>
    <row r="306" customFormat="false" ht="15" hidden="false" customHeight="false" outlineLevel="0" collapsed="false">
      <c r="A306" s="2"/>
      <c r="I306" s="2"/>
      <c r="J306" s="2"/>
      <c r="K306" s="2"/>
    </row>
    <row r="307" customFormat="false" ht="15" hidden="false" customHeight="false" outlineLevel="0" collapsed="false">
      <c r="A307" s="2"/>
      <c r="I307" s="2"/>
      <c r="J307" s="2"/>
      <c r="K307" s="2"/>
    </row>
    <row r="308" customFormat="false" ht="15" hidden="false" customHeight="false" outlineLevel="0" collapsed="false">
      <c r="A308" s="2"/>
      <c r="I308" s="2"/>
      <c r="J308" s="2"/>
      <c r="K308" s="2"/>
    </row>
    <row r="309" customFormat="false" ht="15" hidden="false" customHeight="false" outlineLevel="0" collapsed="false">
      <c r="A309" s="2"/>
      <c r="I309" s="2"/>
      <c r="J309" s="2"/>
      <c r="K309" s="2"/>
    </row>
    <row r="310" customFormat="false" ht="15" hidden="false" customHeight="false" outlineLevel="0" collapsed="false">
      <c r="A310" s="2"/>
      <c r="I310" s="2"/>
      <c r="J310" s="2"/>
      <c r="K310" s="2"/>
    </row>
    <row r="311" customFormat="false" ht="15" hidden="false" customHeight="false" outlineLevel="0" collapsed="false">
      <c r="A311" s="2"/>
      <c r="I311" s="2"/>
      <c r="J311" s="2"/>
      <c r="K311" s="2"/>
    </row>
    <row r="312" customFormat="false" ht="15" hidden="false" customHeight="false" outlineLevel="0" collapsed="false">
      <c r="A312" s="2"/>
      <c r="I312" s="2"/>
      <c r="J312" s="2"/>
      <c r="K312" s="2"/>
    </row>
  </sheetData>
  <mergeCells count="42">
    <mergeCell ref="J2:O2"/>
    <mergeCell ref="B3:G3"/>
    <mergeCell ref="H5:H19"/>
    <mergeCell ref="J5:O5"/>
    <mergeCell ref="J17:O17"/>
    <mergeCell ref="H22:H28"/>
    <mergeCell ref="J22:O22"/>
    <mergeCell ref="B29:H29"/>
    <mergeCell ref="J29:O29"/>
    <mergeCell ref="J30:O30"/>
    <mergeCell ref="B31:F31"/>
    <mergeCell ref="E35:F35"/>
    <mergeCell ref="H35:H61"/>
    <mergeCell ref="J35:O35"/>
    <mergeCell ref="E36:F36"/>
    <mergeCell ref="E37:F37"/>
    <mergeCell ref="J37:O37"/>
    <mergeCell ref="E38:F38"/>
    <mergeCell ref="E39:F39"/>
    <mergeCell ref="J39:O39"/>
    <mergeCell ref="E40:F40"/>
    <mergeCell ref="E41:F41"/>
    <mergeCell ref="E42:F42"/>
    <mergeCell ref="E43:F43"/>
    <mergeCell ref="E44:F44"/>
    <mergeCell ref="E45:F45"/>
    <mergeCell ref="E46:F46"/>
    <mergeCell ref="E47:F47"/>
    <mergeCell ref="E48:F48"/>
    <mergeCell ref="E49:F49"/>
    <mergeCell ref="E50:F50"/>
    <mergeCell ref="E51:F51"/>
    <mergeCell ref="E52:F52"/>
    <mergeCell ref="E53:F53"/>
    <mergeCell ref="E54:F54"/>
    <mergeCell ref="E55:F55"/>
    <mergeCell ref="E56:F56"/>
    <mergeCell ref="E57:F57"/>
    <mergeCell ref="E58:F58"/>
    <mergeCell ref="E59:F59"/>
    <mergeCell ref="E60:F60"/>
    <mergeCell ref="E61:F61"/>
  </mergeCells>
  <dataValidations count="9">
    <dataValidation allowBlank="true" errorStyle="stop" operator="between" prompt="Date when the exam was completed" showDropDown="false" showErrorMessage="true" showInputMessage="true" sqref="D5:D6" type="none">
      <formula1>0</formula1>
      <formula2>0</formula2>
    </dataValidation>
    <dataValidation allowBlank="true" error="Please select from the list" errorStyle="stop" errorTitle="Invalid Entry!" operator="between" prompt="Please select from the list" promptTitle="Courses" showDropDown="false" showErrorMessage="false" showInputMessage="false" sqref="C34" type="none">
      <formula1>0</formula1>
      <formula2>0</formula2>
    </dataValidation>
    <dataValidation allowBlank="true" error="Please select from the list" errorStyle="stop" errorTitle="Invalid Entry!" operator="between" showDropDown="false" showErrorMessage="false" showInputMessage="true" sqref="C21" type="none">
      <formula1>0</formula1>
      <formula2>0</formula2>
    </dataValidation>
    <dataValidation allowBlank="true" errorStyle="stop" operator="between" prompt="Please note any extra study leave you received during work hours." showDropDown="false" showErrorMessage="true" showInputMessage="true" sqref="F7:F18 F20" type="none">
      <formula1>0</formula1>
      <formula2>0</formula2>
    </dataValidation>
    <dataValidation allowBlank="true" errorStyle="stop" operator="between" showDropDown="false" showErrorMessage="true" showInputMessage="true" sqref="B31:F31" type="none">
      <formula1>0</formula1>
      <formula2>0</formula2>
    </dataValidation>
    <dataValidation allowBlank="true" error="Please select from the list" errorStyle="stop" errorTitle="Invalid Entry!" operator="between" prompt="Please select from the list" showDropDown="false" showErrorMessage="true" showInputMessage="true" sqref="C30 C32" type="none">
      <formula1>0</formula1>
      <formula2>0</formula2>
    </dataValidation>
    <dataValidation allowBlank="true" error="Please select from the list" errorStyle="stop" errorTitle="Invalid Entry!" operator="between" prompt="Please select from the list" showDropDown="false" showErrorMessage="true" showInputMessage="true" sqref="C14:C20 C33" type="list">
      <formula1>'List - Hide'!$D$2:$D$3</formula1>
      <formula2>0</formula2>
    </dataValidation>
    <dataValidation allowBlank="true" error="Please pick from the list!" errorStyle="stop" errorTitle="Invalid Entry!" operator="between" prompt="Please select from the list" showDropDown="false" showErrorMessage="true" showInputMessage="true" sqref="C36:C60" type="list">
      <formula1>'List - Hide'!$C$2:$C$19</formula1>
      <formula2>0</formula2>
    </dataValidation>
    <dataValidation allowBlank="true" error="Please pick from the list!" errorStyle="stop" errorTitle="Invalid Entry!" operator="between" prompt="Please select from the list" showDropDown="false" showErrorMessage="true" showInputMessage="true" sqref="C61:C62 C64 C72:C90" type="list">
      <formula1>'List - Hide'!$A$2:$A$17</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484375" defaultRowHeight="15" customHeight="true" zeroHeight="false" outlineLevelRow="0" outlineLevelCol="0"/>
  <cols>
    <col collapsed="false" customWidth="false" hidden="false" outlineLevel="0" max="1" min="1" style="48" width="9.14"/>
    <col collapsed="false" customWidth="true" hidden="false" outlineLevel="0" max="2" min="2" style="48" width="86.14"/>
    <col collapsed="false" customWidth="true" hidden="false" outlineLevel="0" max="3" min="3" style="48" width="83.85"/>
    <col collapsed="false" customWidth="false" hidden="false" outlineLevel="0" max="16384" min="4" style="48" width="9.14"/>
  </cols>
  <sheetData>
    <row r="2" customFormat="false" ht="17.35" hidden="false" customHeight="false" outlineLevel="0" collapsed="false">
      <c r="B2" s="83" t="s">
        <v>62</v>
      </c>
    </row>
    <row r="4" customFormat="false" ht="15" hidden="false" customHeight="false" outlineLevel="0" collapsed="false">
      <c r="B4" s="84" t="s">
        <v>63</v>
      </c>
      <c r="C4" s="85" t="s">
        <v>64</v>
      </c>
    </row>
    <row r="5" customFormat="false" ht="19.5" hidden="false" customHeight="true" outlineLevel="0" collapsed="false">
      <c r="B5" s="86" t="s">
        <v>65</v>
      </c>
      <c r="C5" s="86"/>
    </row>
    <row r="6" customFormat="false" ht="27" hidden="false" customHeight="true" outlineLevel="0" collapsed="false">
      <c r="B6" s="86" t="s">
        <v>66</v>
      </c>
      <c r="C6" s="86"/>
    </row>
    <row r="7" customFormat="false" ht="29.25" hidden="false" customHeight="true" outlineLevel="0" collapsed="false">
      <c r="B7" s="86" t="s">
        <v>67</v>
      </c>
      <c r="C7" s="86"/>
    </row>
    <row r="8" customFormat="false" ht="20.25" hidden="false" customHeight="true" outlineLevel="0" collapsed="false">
      <c r="B8" s="86" t="s">
        <v>68</v>
      </c>
      <c r="C8" s="86" t="s">
        <v>69</v>
      </c>
    </row>
    <row r="9" customFormat="false" ht="51.75" hidden="false" customHeight="true" outlineLevel="0" collapsed="false">
      <c r="B9" s="86" t="s">
        <v>70</v>
      </c>
      <c r="C9" s="87" t="s">
        <v>71</v>
      </c>
    </row>
    <row r="10" customFormat="false" ht="30" hidden="false" customHeight="true" outlineLevel="0" collapsed="false">
      <c r="B10" s="86" t="s">
        <v>72</v>
      </c>
      <c r="C10" s="86" t="s">
        <v>73</v>
      </c>
    </row>
    <row r="11" customFormat="false" ht="30.75" hidden="false" customHeight="true" outlineLevel="0" collapsed="false">
      <c r="B11" s="86" t="s">
        <v>74</v>
      </c>
      <c r="C11" s="86" t="s">
        <v>75</v>
      </c>
    </row>
    <row r="12" customFormat="false" ht="27.75" hidden="false" customHeight="true" outlineLevel="0" collapsed="false">
      <c r="B12" s="86" t="s">
        <v>76</v>
      </c>
      <c r="C12" s="86" t="s">
        <v>73</v>
      </c>
    </row>
    <row r="13" customFormat="false" ht="33" hidden="false" customHeight="true" outlineLevel="0" collapsed="false">
      <c r="B13" s="86" t="s">
        <v>77</v>
      </c>
      <c r="C13" s="86" t="s">
        <v>10</v>
      </c>
    </row>
    <row r="14" customFormat="false" ht="30.75" hidden="false" customHeight="true" outlineLevel="0" collapsed="false">
      <c r="B14" s="86" t="s">
        <v>78</v>
      </c>
      <c r="C14" s="86" t="s">
        <v>79</v>
      </c>
    </row>
    <row r="15" customFormat="false" ht="19.5" hidden="false" customHeight="true" outlineLevel="0" collapsed="false">
      <c r="B15" s="86" t="s">
        <v>80</v>
      </c>
      <c r="C15" s="86"/>
    </row>
    <row r="16" customFormat="false" ht="15" hidden="false" customHeight="false" outlineLevel="0" collapsed="false">
      <c r="B16" s="88"/>
      <c r="C16" s="88"/>
    </row>
    <row r="17" customFormat="false" ht="15" hidden="false" customHeight="false" outlineLevel="0" collapsed="false">
      <c r="B17" s="88"/>
      <c r="C17" s="88"/>
    </row>
    <row r="18" customFormat="false" ht="15" hidden="false" customHeight="false" outlineLevel="0" collapsed="false">
      <c r="B18" s="88"/>
      <c r="C18" s="88"/>
    </row>
    <row r="19" customFormat="false" ht="15" hidden="false" customHeight="false" outlineLevel="0" collapsed="false">
      <c r="B19" s="88"/>
      <c r="C19" s="88"/>
    </row>
    <row r="20" customFormat="false" ht="15" hidden="false" customHeight="false" outlineLevel="0" collapsed="false">
      <c r="B20" s="88"/>
      <c r="C20" s="88"/>
    </row>
    <row r="21" customFormat="false" ht="15" hidden="false" customHeight="false" outlineLevel="0" collapsed="false">
      <c r="B21" s="88"/>
      <c r="C21" s="88"/>
    </row>
    <row r="22" customFormat="false" ht="15" hidden="false" customHeight="false" outlineLevel="0" collapsed="false">
      <c r="B22" s="88"/>
      <c r="C22" s="88"/>
    </row>
    <row r="23" customFormat="false" ht="15" hidden="false" customHeight="false" outlineLevel="0" collapsed="false">
      <c r="B23" s="88"/>
      <c r="C23" s="88"/>
    </row>
    <row r="24" customFormat="false" ht="15" hidden="false" customHeight="false" outlineLevel="0" collapsed="false">
      <c r="B24" s="88"/>
      <c r="C24" s="88"/>
    </row>
    <row r="25" customFormat="false" ht="15" hidden="false" customHeight="false" outlineLevel="0" collapsed="false">
      <c r="B25" s="88"/>
      <c r="C25" s="88"/>
    </row>
    <row r="26" customFormat="false" ht="15" hidden="false" customHeight="false" outlineLevel="0" collapsed="false">
      <c r="B26" s="88"/>
      <c r="C26" s="88"/>
    </row>
    <row r="27" customFormat="false" ht="15" hidden="false" customHeight="false" outlineLevel="0" collapsed="false">
      <c r="B27" s="88"/>
      <c r="C27" s="88"/>
    </row>
    <row r="28" customFormat="false" ht="15" hidden="false" customHeight="false" outlineLevel="0" collapsed="false">
      <c r="B28" s="88"/>
      <c r="C28" s="8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0" activeCellId="0" sqref="H20"/>
    </sheetView>
  </sheetViews>
  <sheetFormatPr defaultColWidth="8.6796875" defaultRowHeight="15" customHeight="true"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M31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B15" activeCellId="0" sqref="B15"/>
    </sheetView>
  </sheetViews>
  <sheetFormatPr defaultColWidth="9.1484375" defaultRowHeight="15" customHeight="true" zeroHeight="false" outlineLevelRow="0" outlineLevelCol="0"/>
  <cols>
    <col collapsed="false" customWidth="true" hidden="false" outlineLevel="0" max="1" min="1" style="48" width="84.29"/>
    <col collapsed="false" customWidth="true" hidden="false" outlineLevel="0" max="2" min="2" style="48" width="94.29"/>
    <col collapsed="false" customWidth="true" hidden="false" outlineLevel="0" max="3" min="3" style="48" width="71"/>
    <col collapsed="false" customWidth="false" hidden="false" outlineLevel="0" max="16384" min="4" style="48" width="9.14"/>
  </cols>
  <sheetData>
    <row r="1" customFormat="false" ht="15" hidden="false" customHeight="false" outlineLevel="0" collapsed="false">
      <c r="A1" s="89" t="s">
        <v>81</v>
      </c>
      <c r="B1" s="49" t="s">
        <v>82</v>
      </c>
      <c r="C1" s="49" t="s">
        <v>83</v>
      </c>
    </row>
    <row r="2" customFormat="false" ht="30" hidden="false" customHeight="true" outlineLevel="0" collapsed="false">
      <c r="A2" s="90" t="s">
        <v>84</v>
      </c>
      <c r="B2" s="91" t="s">
        <v>85</v>
      </c>
      <c r="C2" s="92" t="s">
        <v>86</v>
      </c>
      <c r="D2" s="69"/>
      <c r="E2" s="69"/>
      <c r="F2" s="69"/>
      <c r="G2" s="69"/>
      <c r="H2" s="69"/>
      <c r="I2" s="69"/>
      <c r="J2" s="69"/>
      <c r="K2" s="69"/>
      <c r="L2" s="69"/>
      <c r="M2" s="69"/>
      <c r="N2" s="69"/>
      <c r="O2" s="69"/>
      <c r="P2" s="69"/>
      <c r="Q2" s="69"/>
      <c r="R2" s="69"/>
      <c r="S2" s="69"/>
      <c r="T2" s="69"/>
      <c r="U2" s="69"/>
      <c r="V2" s="69"/>
      <c r="W2" s="69"/>
      <c r="X2" s="69"/>
      <c r="Y2" s="69"/>
      <c r="Z2" s="69"/>
      <c r="AA2" s="69"/>
      <c r="AB2" s="69"/>
      <c r="AC2" s="69"/>
      <c r="AD2" s="69"/>
      <c r="AE2" s="69"/>
      <c r="AF2" s="69"/>
      <c r="AG2" s="69"/>
      <c r="AH2" s="69"/>
      <c r="AI2" s="69"/>
      <c r="AJ2" s="69"/>
      <c r="AK2" s="69"/>
      <c r="AL2" s="69"/>
      <c r="AM2" s="69"/>
      <c r="AN2" s="69"/>
      <c r="AO2" s="69"/>
      <c r="AP2" s="69"/>
      <c r="AQ2" s="69"/>
      <c r="AR2" s="69"/>
      <c r="AS2" s="69"/>
      <c r="AT2" s="69"/>
      <c r="AU2" s="69"/>
      <c r="AV2" s="69"/>
      <c r="AW2" s="69"/>
      <c r="AX2" s="69"/>
      <c r="AY2" s="69"/>
      <c r="AZ2" s="69"/>
      <c r="BA2" s="69"/>
    </row>
    <row r="3" customFormat="false" ht="35.05" hidden="false" customHeight="false" outlineLevel="0" collapsed="false">
      <c r="A3" s="90" t="s">
        <v>87</v>
      </c>
      <c r="B3" s="92" t="s">
        <v>88</v>
      </c>
      <c r="C3" s="92" t="s">
        <v>89</v>
      </c>
      <c r="D3" s="69"/>
      <c r="E3" s="69"/>
      <c r="F3" s="69"/>
      <c r="G3" s="69"/>
      <c r="H3" s="69"/>
      <c r="I3" s="69"/>
      <c r="J3" s="69"/>
      <c r="K3" s="69"/>
      <c r="L3" s="69"/>
      <c r="M3" s="69"/>
      <c r="N3" s="69"/>
      <c r="O3" s="69"/>
      <c r="P3" s="69"/>
      <c r="Q3" s="69"/>
      <c r="R3" s="69"/>
      <c r="S3" s="69"/>
      <c r="T3" s="69"/>
      <c r="U3" s="69"/>
      <c r="V3" s="69"/>
      <c r="W3" s="69"/>
      <c r="X3" s="69"/>
      <c r="Y3" s="69"/>
      <c r="Z3" s="69"/>
      <c r="AA3" s="69"/>
      <c r="AB3" s="69"/>
      <c r="AC3" s="69"/>
      <c r="AD3" s="69"/>
      <c r="AE3" s="69"/>
      <c r="AF3" s="69"/>
      <c r="AG3" s="69"/>
      <c r="AH3" s="69"/>
      <c r="AI3" s="69"/>
      <c r="AJ3" s="69"/>
      <c r="AK3" s="69"/>
      <c r="AL3" s="69"/>
      <c r="AM3" s="69"/>
      <c r="AN3" s="69"/>
      <c r="AO3" s="69"/>
      <c r="AP3" s="69"/>
      <c r="AQ3" s="69"/>
      <c r="AR3" s="69"/>
      <c r="AS3" s="69"/>
      <c r="AT3" s="69"/>
      <c r="AU3" s="69"/>
      <c r="AV3" s="69"/>
      <c r="AW3" s="69"/>
      <c r="AX3" s="69"/>
      <c r="AY3" s="69"/>
      <c r="AZ3" s="69"/>
      <c r="BA3" s="69"/>
    </row>
    <row r="4" customFormat="false" ht="35.05" hidden="false" customHeight="false" outlineLevel="0" collapsed="false">
      <c r="A4" s="90" t="s">
        <v>90</v>
      </c>
      <c r="B4" s="92" t="s">
        <v>91</v>
      </c>
      <c r="C4" s="92" t="s">
        <v>92</v>
      </c>
      <c r="D4" s="69"/>
      <c r="E4" s="69"/>
      <c r="F4" s="69"/>
      <c r="G4" s="69"/>
      <c r="H4" s="69"/>
      <c r="I4" s="69"/>
      <c r="J4" s="69"/>
      <c r="K4" s="69"/>
      <c r="L4" s="69"/>
      <c r="M4" s="69"/>
      <c r="N4" s="69"/>
      <c r="O4" s="69"/>
      <c r="P4" s="69"/>
      <c r="Q4" s="69"/>
      <c r="R4" s="69"/>
      <c r="S4" s="69"/>
      <c r="T4" s="69"/>
      <c r="U4" s="69"/>
      <c r="V4" s="69"/>
      <c r="W4" s="69"/>
      <c r="X4" s="69"/>
      <c r="Y4" s="69"/>
      <c r="Z4" s="69"/>
      <c r="AA4" s="69"/>
      <c r="AB4" s="69"/>
      <c r="AC4" s="69"/>
      <c r="AD4" s="69"/>
      <c r="AE4" s="69"/>
      <c r="AF4" s="69"/>
      <c r="AG4" s="69"/>
      <c r="AH4" s="69"/>
      <c r="AI4" s="69"/>
      <c r="AJ4" s="69"/>
      <c r="AK4" s="69"/>
      <c r="AL4" s="69"/>
      <c r="AM4" s="69"/>
      <c r="AN4" s="69"/>
      <c r="AO4" s="69"/>
      <c r="AP4" s="69"/>
      <c r="AQ4" s="69"/>
      <c r="AR4" s="69"/>
      <c r="AS4" s="69"/>
      <c r="AT4" s="69"/>
      <c r="AU4" s="69"/>
      <c r="AV4" s="69"/>
      <c r="AW4" s="69"/>
      <c r="AX4" s="69"/>
      <c r="AY4" s="69"/>
      <c r="AZ4" s="69"/>
      <c r="BA4" s="69"/>
    </row>
    <row r="5" customFormat="false" ht="23.85" hidden="false" customHeight="false" outlineLevel="0" collapsed="false">
      <c r="A5" s="90" t="s">
        <v>93</v>
      </c>
      <c r="B5" s="92" t="s">
        <v>94</v>
      </c>
      <c r="C5" s="92" t="s">
        <v>95</v>
      </c>
      <c r="D5" s="69"/>
      <c r="E5" s="69"/>
      <c r="F5" s="69"/>
      <c r="G5" s="69"/>
      <c r="H5" s="69"/>
      <c r="I5" s="69"/>
      <c r="J5" s="69"/>
      <c r="K5" s="69"/>
      <c r="L5" s="69"/>
      <c r="M5" s="69"/>
      <c r="N5" s="69"/>
      <c r="O5" s="69"/>
      <c r="P5" s="69"/>
      <c r="Q5" s="69"/>
      <c r="R5" s="69"/>
      <c r="S5" s="69"/>
      <c r="T5" s="69"/>
      <c r="U5" s="69"/>
      <c r="V5" s="69"/>
      <c r="W5" s="69"/>
      <c r="X5" s="69"/>
      <c r="Y5" s="69"/>
      <c r="Z5" s="69"/>
      <c r="AA5" s="69"/>
      <c r="AB5" s="69"/>
      <c r="AC5" s="69"/>
      <c r="AD5" s="69"/>
      <c r="AE5" s="69"/>
      <c r="AF5" s="69"/>
      <c r="AG5" s="69"/>
      <c r="AH5" s="69"/>
      <c r="AI5" s="69"/>
      <c r="AJ5" s="69"/>
      <c r="AK5" s="69"/>
      <c r="AL5" s="69"/>
      <c r="AM5" s="69"/>
      <c r="AN5" s="69"/>
      <c r="AO5" s="69"/>
      <c r="AP5" s="69"/>
      <c r="AQ5" s="69"/>
      <c r="AR5" s="69"/>
      <c r="AS5" s="69"/>
      <c r="AT5" s="69"/>
      <c r="AU5" s="69"/>
      <c r="AV5" s="69"/>
      <c r="AW5" s="69"/>
      <c r="AX5" s="69"/>
      <c r="AY5" s="69"/>
      <c r="AZ5" s="69"/>
      <c r="BA5" s="69"/>
    </row>
    <row r="6" customFormat="false" ht="23.85" hidden="false" customHeight="false" outlineLevel="0" collapsed="false">
      <c r="A6" s="90" t="s">
        <v>96</v>
      </c>
      <c r="B6" s="92" t="s">
        <v>97</v>
      </c>
      <c r="C6" s="92" t="s">
        <v>98</v>
      </c>
      <c r="D6" s="69"/>
      <c r="E6" s="69"/>
      <c r="F6" s="69"/>
      <c r="G6" s="69"/>
      <c r="H6" s="69"/>
      <c r="I6" s="69"/>
      <c r="J6" s="69"/>
      <c r="K6" s="69"/>
      <c r="L6" s="69"/>
      <c r="M6" s="69"/>
      <c r="N6" s="69"/>
      <c r="O6" s="69"/>
      <c r="P6" s="69"/>
      <c r="Q6" s="69"/>
      <c r="R6" s="69"/>
      <c r="S6" s="69"/>
      <c r="T6" s="69"/>
      <c r="U6" s="69"/>
      <c r="V6" s="69"/>
      <c r="W6" s="69"/>
      <c r="X6" s="69"/>
      <c r="Y6" s="69"/>
      <c r="Z6" s="69"/>
      <c r="AA6" s="69"/>
      <c r="AB6" s="69"/>
      <c r="AC6" s="69"/>
      <c r="AD6" s="69"/>
      <c r="AE6" s="69"/>
      <c r="AF6" s="69"/>
      <c r="AG6" s="69"/>
      <c r="AH6" s="69"/>
      <c r="AI6" s="69"/>
      <c r="AJ6" s="69"/>
      <c r="AK6" s="69"/>
      <c r="AL6" s="69"/>
      <c r="AM6" s="69"/>
      <c r="AN6" s="69"/>
      <c r="AO6" s="69"/>
      <c r="AP6" s="69"/>
      <c r="AQ6" s="69"/>
      <c r="AR6" s="69"/>
      <c r="AS6" s="69"/>
      <c r="AT6" s="69"/>
      <c r="AU6" s="69"/>
      <c r="AV6" s="69"/>
      <c r="AW6" s="69"/>
      <c r="AX6" s="69"/>
      <c r="AY6" s="69"/>
      <c r="AZ6" s="69"/>
      <c r="BA6" s="69"/>
    </row>
    <row r="7" customFormat="false" ht="23.85" hidden="false" customHeight="false" outlineLevel="0" collapsed="false">
      <c r="A7" s="90" t="s">
        <v>99</v>
      </c>
      <c r="B7" s="92" t="s">
        <v>100</v>
      </c>
      <c r="C7" s="92" t="s">
        <v>101</v>
      </c>
      <c r="D7" s="69"/>
      <c r="E7" s="69"/>
      <c r="F7" s="69"/>
      <c r="G7" s="69"/>
      <c r="H7" s="69"/>
      <c r="I7" s="69"/>
      <c r="J7" s="69"/>
      <c r="K7" s="69"/>
      <c r="L7" s="69"/>
      <c r="M7" s="69"/>
      <c r="N7" s="69"/>
      <c r="O7" s="69"/>
      <c r="P7" s="69"/>
      <c r="Q7" s="69"/>
      <c r="R7" s="69"/>
      <c r="S7" s="69"/>
      <c r="T7" s="69"/>
      <c r="U7" s="69"/>
      <c r="V7" s="69"/>
      <c r="W7" s="69"/>
      <c r="X7" s="69"/>
      <c r="Y7" s="69"/>
      <c r="Z7" s="69"/>
      <c r="AA7" s="69"/>
      <c r="AB7" s="69"/>
      <c r="AC7" s="69"/>
      <c r="AD7" s="69"/>
      <c r="AE7" s="69"/>
      <c r="AF7" s="69"/>
      <c r="AG7" s="69"/>
      <c r="AH7" s="69"/>
      <c r="AI7" s="69"/>
      <c r="AJ7" s="69"/>
      <c r="AK7" s="69"/>
      <c r="AL7" s="69"/>
      <c r="AM7" s="69"/>
      <c r="AN7" s="69"/>
      <c r="AO7" s="69"/>
      <c r="AP7" s="69"/>
      <c r="AQ7" s="69"/>
      <c r="AR7" s="69"/>
      <c r="AS7" s="69"/>
      <c r="AT7" s="69"/>
      <c r="AU7" s="69"/>
      <c r="AV7" s="69"/>
      <c r="AW7" s="69"/>
      <c r="AX7" s="69"/>
      <c r="AY7" s="69"/>
      <c r="AZ7" s="69"/>
      <c r="BA7" s="69"/>
    </row>
    <row r="8" customFormat="false" ht="23.85" hidden="false" customHeight="false" outlineLevel="0" collapsed="false">
      <c r="A8" s="90" t="s">
        <v>102</v>
      </c>
      <c r="B8" s="92" t="s">
        <v>103</v>
      </c>
      <c r="C8" s="69"/>
      <c r="D8" s="69"/>
      <c r="E8" s="69"/>
      <c r="F8" s="69"/>
      <c r="G8" s="69"/>
      <c r="H8" s="69"/>
      <c r="I8" s="69"/>
      <c r="J8" s="69"/>
      <c r="K8" s="69"/>
      <c r="L8" s="69"/>
      <c r="M8" s="69"/>
      <c r="N8" s="69"/>
      <c r="O8" s="69"/>
      <c r="P8" s="69"/>
      <c r="Q8" s="69"/>
      <c r="R8" s="69"/>
      <c r="S8" s="69"/>
      <c r="T8" s="69"/>
      <c r="U8" s="69"/>
      <c r="V8" s="69"/>
      <c r="W8" s="69"/>
      <c r="X8" s="69"/>
      <c r="Y8" s="69"/>
      <c r="Z8" s="69"/>
      <c r="AA8" s="69"/>
      <c r="AB8" s="69"/>
      <c r="AC8" s="69"/>
      <c r="AD8" s="69"/>
      <c r="AE8" s="69"/>
      <c r="AF8" s="69"/>
      <c r="AG8" s="69"/>
      <c r="AH8" s="69"/>
      <c r="AI8" s="69"/>
      <c r="AJ8" s="69"/>
      <c r="AK8" s="69"/>
      <c r="AL8" s="69"/>
      <c r="AM8" s="69"/>
      <c r="AN8" s="69"/>
      <c r="AO8" s="69"/>
      <c r="AP8" s="69"/>
      <c r="AQ8" s="69"/>
      <c r="AR8" s="69"/>
      <c r="AS8" s="69"/>
      <c r="AT8" s="69"/>
      <c r="AU8" s="69"/>
      <c r="AV8" s="69"/>
      <c r="AW8" s="69"/>
      <c r="AX8" s="69"/>
      <c r="AY8" s="69"/>
      <c r="AZ8" s="69"/>
      <c r="BA8" s="69"/>
    </row>
    <row r="9" customFormat="false" ht="15" hidden="false" customHeight="false" outlineLevel="0" collapsed="false">
      <c r="A9" s="90" t="s">
        <v>104</v>
      </c>
      <c r="B9" s="92" t="s">
        <v>105</v>
      </c>
      <c r="C9" s="69"/>
      <c r="D9" s="69"/>
      <c r="E9" s="69"/>
      <c r="F9" s="69"/>
      <c r="G9" s="69"/>
      <c r="H9" s="69"/>
      <c r="I9" s="69"/>
      <c r="J9" s="69"/>
      <c r="K9" s="69"/>
      <c r="L9" s="69"/>
      <c r="M9" s="69"/>
      <c r="N9" s="69"/>
      <c r="O9" s="69"/>
      <c r="P9" s="69"/>
      <c r="Q9" s="69"/>
      <c r="R9" s="69"/>
      <c r="S9" s="69"/>
      <c r="T9" s="69"/>
      <c r="U9" s="69"/>
      <c r="V9" s="69"/>
      <c r="W9" s="69"/>
      <c r="X9" s="69"/>
      <c r="Y9" s="69"/>
      <c r="Z9" s="69"/>
      <c r="AA9" s="69"/>
      <c r="AB9" s="69"/>
      <c r="AC9" s="69"/>
      <c r="AD9" s="69"/>
      <c r="AE9" s="69"/>
      <c r="AF9" s="69"/>
      <c r="AG9" s="69"/>
      <c r="AH9" s="69"/>
      <c r="AI9" s="69"/>
      <c r="AJ9" s="69"/>
      <c r="AK9" s="69"/>
      <c r="AL9" s="69"/>
      <c r="AM9" s="69"/>
      <c r="AN9" s="69"/>
      <c r="AO9" s="69"/>
      <c r="AP9" s="69"/>
      <c r="AQ9" s="69"/>
      <c r="AR9" s="69"/>
      <c r="AS9" s="69"/>
      <c r="AT9" s="69"/>
      <c r="AU9" s="69"/>
      <c r="AV9" s="69"/>
      <c r="AW9" s="69"/>
      <c r="AX9" s="69"/>
      <c r="AY9" s="69"/>
      <c r="AZ9" s="69"/>
      <c r="BA9" s="69"/>
    </row>
    <row r="10" customFormat="false" ht="23.85" hidden="false" customHeight="false" outlineLevel="0" collapsed="false">
      <c r="A10" s="90" t="s">
        <v>106</v>
      </c>
      <c r="B10" s="92" t="s">
        <v>107</v>
      </c>
      <c r="C10" s="69"/>
      <c r="D10" s="69"/>
      <c r="E10" s="69"/>
      <c r="F10" s="69"/>
      <c r="G10" s="69"/>
      <c r="H10" s="69"/>
      <c r="I10" s="69"/>
      <c r="J10" s="69"/>
      <c r="K10" s="69"/>
      <c r="L10" s="69"/>
      <c r="M10" s="69"/>
      <c r="N10" s="69"/>
      <c r="O10" s="69"/>
      <c r="P10" s="69"/>
      <c r="Q10" s="69"/>
      <c r="R10" s="69"/>
      <c r="S10" s="69"/>
      <c r="T10" s="69"/>
      <c r="U10" s="69"/>
      <c r="V10" s="69"/>
      <c r="W10" s="69"/>
      <c r="X10" s="69"/>
      <c r="Y10" s="69"/>
      <c r="Z10" s="69"/>
      <c r="AA10" s="69"/>
      <c r="AB10" s="69"/>
      <c r="AC10" s="69"/>
      <c r="AD10" s="69"/>
      <c r="AE10" s="69"/>
      <c r="AF10" s="69"/>
      <c r="AG10" s="69"/>
      <c r="AH10" s="69"/>
      <c r="AI10" s="69"/>
      <c r="AJ10" s="69"/>
      <c r="AK10" s="69"/>
      <c r="AL10" s="69"/>
      <c r="AM10" s="69"/>
      <c r="AN10" s="69"/>
      <c r="AO10" s="69"/>
      <c r="AP10" s="69"/>
      <c r="AQ10" s="69"/>
      <c r="AR10" s="69"/>
      <c r="AS10" s="69"/>
      <c r="AT10" s="69"/>
      <c r="AU10" s="69"/>
      <c r="AV10" s="69"/>
      <c r="AW10" s="69"/>
      <c r="AX10" s="69"/>
      <c r="AY10" s="69"/>
      <c r="AZ10" s="69"/>
      <c r="BA10" s="69"/>
    </row>
    <row r="11" customFormat="false" ht="23.85" hidden="false" customHeight="false" outlineLevel="0" collapsed="false">
      <c r="A11" s="90" t="s">
        <v>108</v>
      </c>
      <c r="B11" s="92" t="s">
        <v>109</v>
      </c>
      <c r="C11" s="69"/>
      <c r="D11" s="69"/>
      <c r="E11" s="69"/>
      <c r="F11" s="69"/>
      <c r="G11" s="69"/>
      <c r="H11" s="69"/>
      <c r="I11" s="69"/>
      <c r="J11" s="69"/>
      <c r="K11" s="69"/>
      <c r="L11" s="69"/>
      <c r="M11" s="69"/>
      <c r="N11" s="69"/>
      <c r="O11" s="69"/>
      <c r="P11" s="69"/>
      <c r="Q11" s="69"/>
      <c r="R11" s="69"/>
      <c r="S11" s="69"/>
      <c r="T11" s="69"/>
      <c r="U11" s="69"/>
      <c r="V11" s="69"/>
      <c r="W11" s="69"/>
      <c r="X11" s="69"/>
      <c r="Y11" s="69"/>
      <c r="Z11" s="69"/>
      <c r="AA11" s="69"/>
      <c r="AB11" s="69"/>
      <c r="AC11" s="69"/>
      <c r="AD11" s="69"/>
      <c r="AE11" s="69"/>
      <c r="AF11" s="69"/>
      <c r="AG11" s="69"/>
      <c r="AH11" s="69"/>
      <c r="AI11" s="69"/>
      <c r="AJ11" s="69"/>
      <c r="AK11" s="69"/>
      <c r="AL11" s="69"/>
      <c r="AM11" s="69"/>
      <c r="AN11" s="69"/>
      <c r="AO11" s="69"/>
      <c r="AP11" s="69"/>
      <c r="AQ11" s="69"/>
      <c r="AR11" s="69"/>
      <c r="AS11" s="69"/>
      <c r="AT11" s="69"/>
      <c r="AU11" s="69"/>
      <c r="AV11" s="69"/>
      <c r="AW11" s="69"/>
      <c r="AX11" s="69"/>
      <c r="AY11" s="69"/>
      <c r="AZ11" s="69"/>
      <c r="BA11" s="69"/>
    </row>
    <row r="12" customFormat="false" ht="23.85" hidden="false" customHeight="false" outlineLevel="0" collapsed="false">
      <c r="A12" s="90" t="s">
        <v>110</v>
      </c>
      <c r="B12" s="69" t="s">
        <v>111</v>
      </c>
      <c r="C12" s="69"/>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69"/>
      <c r="AF12" s="69"/>
      <c r="AG12" s="69"/>
      <c r="AH12" s="69"/>
      <c r="AI12" s="69"/>
      <c r="AJ12" s="69"/>
      <c r="AK12" s="69"/>
      <c r="AL12" s="69"/>
      <c r="AM12" s="69"/>
      <c r="AN12" s="69"/>
      <c r="AO12" s="69"/>
      <c r="AP12" s="69"/>
      <c r="AQ12" s="69"/>
      <c r="AR12" s="69"/>
      <c r="AS12" s="69"/>
      <c r="AT12" s="69"/>
      <c r="AU12" s="69"/>
      <c r="AV12" s="69"/>
      <c r="AW12" s="69"/>
      <c r="AX12" s="69"/>
      <c r="AY12" s="69"/>
      <c r="AZ12" s="69"/>
      <c r="BA12" s="69"/>
    </row>
    <row r="13" customFormat="false" ht="23.85" hidden="false" customHeight="false" outlineLevel="0" collapsed="false">
      <c r="A13" s="90" t="s">
        <v>112</v>
      </c>
      <c r="B13" s="69" t="s">
        <v>113</v>
      </c>
      <c r="C13" s="69"/>
      <c r="D13" s="69"/>
      <c r="E13" s="69"/>
      <c r="F13" s="69"/>
      <c r="G13" s="69"/>
      <c r="H13" s="69"/>
      <c r="I13" s="69"/>
      <c r="J13" s="69"/>
      <c r="K13" s="69"/>
      <c r="L13" s="69"/>
      <c r="M13" s="69"/>
      <c r="N13" s="69"/>
      <c r="O13" s="69"/>
      <c r="P13" s="69"/>
      <c r="Q13" s="69"/>
      <c r="R13" s="69"/>
      <c r="S13" s="69"/>
      <c r="T13" s="69"/>
      <c r="U13" s="69"/>
      <c r="V13" s="69"/>
      <c r="W13" s="69"/>
      <c r="X13" s="69"/>
      <c r="Y13" s="69"/>
      <c r="Z13" s="69"/>
      <c r="AA13" s="69"/>
      <c r="AB13" s="69"/>
      <c r="AC13" s="69"/>
      <c r="AD13" s="69"/>
      <c r="AE13" s="69"/>
      <c r="AF13" s="69"/>
      <c r="AG13" s="69"/>
      <c r="AH13" s="69"/>
      <c r="AI13" s="69"/>
      <c r="AJ13" s="69"/>
      <c r="AK13" s="69"/>
      <c r="AL13" s="69"/>
      <c r="AM13" s="69"/>
      <c r="AN13" s="69"/>
      <c r="AO13" s="69"/>
      <c r="AP13" s="69"/>
      <c r="AQ13" s="69"/>
      <c r="AR13" s="69"/>
      <c r="AS13" s="69"/>
      <c r="AT13" s="69"/>
      <c r="AU13" s="69"/>
      <c r="AV13" s="69"/>
      <c r="AW13" s="69"/>
      <c r="AX13" s="69"/>
      <c r="AY13" s="69"/>
      <c r="AZ13" s="69"/>
      <c r="BA13" s="69"/>
    </row>
    <row r="14" customFormat="false" ht="23.85" hidden="false" customHeight="false" outlineLevel="0" collapsed="false">
      <c r="A14" s="90" t="s">
        <v>114</v>
      </c>
      <c r="B14" s="69" t="s">
        <v>115</v>
      </c>
      <c r="C14" s="69"/>
      <c r="D14" s="69"/>
      <c r="E14" s="69"/>
      <c r="F14" s="69"/>
      <c r="G14" s="69"/>
      <c r="H14" s="69"/>
      <c r="I14" s="69"/>
      <c r="J14" s="69"/>
      <c r="K14" s="69"/>
      <c r="L14" s="69"/>
      <c r="M14" s="69"/>
      <c r="N14" s="69"/>
      <c r="O14" s="69"/>
      <c r="P14" s="69"/>
      <c r="Q14" s="69"/>
      <c r="R14" s="69"/>
      <c r="S14" s="69"/>
      <c r="T14" s="69"/>
      <c r="U14" s="69"/>
      <c r="V14" s="69"/>
      <c r="W14" s="69"/>
      <c r="X14" s="69"/>
      <c r="Y14" s="69"/>
      <c r="Z14" s="69"/>
      <c r="AA14" s="69"/>
      <c r="AB14" s="69"/>
      <c r="AC14" s="69"/>
      <c r="AD14" s="69"/>
      <c r="AE14" s="69"/>
      <c r="AF14" s="69"/>
      <c r="AG14" s="69"/>
      <c r="AH14" s="69"/>
      <c r="AI14" s="69"/>
      <c r="AJ14" s="69"/>
      <c r="AK14" s="69"/>
      <c r="AL14" s="69"/>
      <c r="AM14" s="69"/>
      <c r="AN14" s="69"/>
      <c r="AO14" s="69"/>
      <c r="AP14" s="69"/>
      <c r="AQ14" s="69"/>
      <c r="AR14" s="69"/>
      <c r="AS14" s="69"/>
      <c r="AT14" s="69"/>
      <c r="AU14" s="69"/>
      <c r="AV14" s="69"/>
      <c r="AW14" s="69"/>
      <c r="AX14" s="69"/>
      <c r="AY14" s="69"/>
      <c r="AZ14" s="69"/>
      <c r="BA14" s="69"/>
    </row>
    <row r="15" customFormat="false" ht="23.85" hidden="false" customHeight="false" outlineLevel="0" collapsed="false">
      <c r="A15" s="90" t="s">
        <v>116</v>
      </c>
      <c r="B15" s="69" t="s">
        <v>117</v>
      </c>
      <c r="C15" s="69"/>
      <c r="D15" s="69"/>
      <c r="E15" s="69"/>
      <c r="F15" s="69"/>
      <c r="G15" s="69"/>
      <c r="H15" s="69"/>
      <c r="I15" s="69"/>
      <c r="J15" s="69"/>
      <c r="K15" s="69"/>
      <c r="L15" s="69"/>
      <c r="M15" s="69"/>
      <c r="N15" s="69"/>
      <c r="O15" s="69"/>
      <c r="P15" s="69"/>
      <c r="Q15" s="69"/>
      <c r="R15" s="69"/>
      <c r="S15" s="69"/>
      <c r="T15" s="69"/>
      <c r="U15" s="69"/>
      <c r="V15" s="69"/>
      <c r="W15" s="69"/>
      <c r="X15" s="69"/>
      <c r="Y15" s="69"/>
      <c r="Z15" s="69"/>
      <c r="AA15" s="69"/>
      <c r="AB15" s="69"/>
      <c r="AC15" s="69"/>
      <c r="AD15" s="69"/>
      <c r="AE15" s="69"/>
      <c r="AF15" s="69"/>
      <c r="AG15" s="69"/>
      <c r="AH15" s="69"/>
      <c r="AI15" s="69"/>
      <c r="AJ15" s="69"/>
      <c r="AK15" s="69"/>
      <c r="AL15" s="69"/>
      <c r="AM15" s="69"/>
      <c r="AN15" s="69"/>
      <c r="AO15" s="69"/>
      <c r="AP15" s="69"/>
      <c r="AQ15" s="69"/>
      <c r="AR15" s="69"/>
      <c r="AS15" s="69"/>
      <c r="AT15" s="69"/>
      <c r="AU15" s="69"/>
      <c r="AV15" s="69"/>
      <c r="AW15" s="69"/>
      <c r="AX15" s="69"/>
      <c r="AY15" s="69"/>
      <c r="AZ15" s="69"/>
      <c r="BA15" s="69"/>
    </row>
    <row r="16" customFormat="false" ht="23.85" hidden="false" customHeight="false" outlineLevel="0" collapsed="false">
      <c r="A16" s="90" t="s">
        <v>118</v>
      </c>
      <c r="B16" s="69" t="s">
        <v>119</v>
      </c>
      <c r="C16" s="69"/>
      <c r="D16" s="69"/>
      <c r="E16" s="69"/>
      <c r="F16" s="69"/>
      <c r="G16" s="69"/>
      <c r="H16" s="69"/>
      <c r="I16" s="69"/>
      <c r="J16" s="69"/>
      <c r="K16" s="69"/>
      <c r="L16" s="69"/>
      <c r="M16" s="69"/>
      <c r="N16" s="69"/>
      <c r="O16" s="69"/>
      <c r="P16" s="69"/>
      <c r="Q16" s="69"/>
      <c r="R16" s="69"/>
      <c r="S16" s="69"/>
      <c r="T16" s="69"/>
      <c r="U16" s="69"/>
      <c r="V16" s="69"/>
      <c r="W16" s="69"/>
      <c r="X16" s="69"/>
      <c r="Y16" s="69"/>
      <c r="Z16" s="69"/>
      <c r="AA16" s="69"/>
      <c r="AB16" s="69"/>
      <c r="AC16" s="69"/>
      <c r="AD16" s="69"/>
      <c r="AE16" s="69"/>
      <c r="AF16" s="69"/>
      <c r="AG16" s="69"/>
      <c r="AH16" s="69"/>
      <c r="AI16" s="69"/>
      <c r="AJ16" s="69"/>
      <c r="AK16" s="69"/>
      <c r="AL16" s="69"/>
      <c r="AM16" s="69"/>
      <c r="AN16" s="69"/>
      <c r="AO16" s="69"/>
      <c r="AP16" s="69"/>
      <c r="AQ16" s="69"/>
      <c r="AR16" s="69"/>
      <c r="AS16" s="69"/>
      <c r="AT16" s="69"/>
      <c r="AU16" s="69"/>
      <c r="AV16" s="69"/>
      <c r="AW16" s="69"/>
      <c r="AX16" s="69"/>
      <c r="AY16" s="69"/>
      <c r="AZ16" s="69"/>
      <c r="BA16" s="69"/>
    </row>
    <row r="17" customFormat="false" ht="35.05" hidden="false" customHeight="false" outlineLevel="0" collapsed="false">
      <c r="A17" s="90" t="s">
        <v>120</v>
      </c>
      <c r="B17" s="69" t="s">
        <v>121</v>
      </c>
      <c r="C17" s="69"/>
      <c r="D17" s="69"/>
      <c r="E17" s="69"/>
      <c r="F17" s="69"/>
      <c r="G17" s="69"/>
      <c r="H17" s="69"/>
      <c r="I17" s="69"/>
      <c r="J17" s="69"/>
      <c r="K17" s="69"/>
      <c r="L17" s="69"/>
      <c r="M17" s="69"/>
      <c r="N17" s="69"/>
      <c r="O17" s="69"/>
      <c r="P17" s="69"/>
      <c r="Q17" s="69"/>
      <c r="R17" s="69"/>
      <c r="S17" s="69"/>
      <c r="T17" s="69"/>
      <c r="U17" s="69"/>
      <c r="V17" s="69"/>
      <c r="W17" s="69"/>
      <c r="X17" s="69"/>
      <c r="Y17" s="69"/>
      <c r="Z17" s="69"/>
      <c r="AA17" s="69"/>
      <c r="AB17" s="69"/>
      <c r="AC17" s="69"/>
      <c r="AD17" s="69"/>
      <c r="AE17" s="69"/>
      <c r="AF17" s="69"/>
      <c r="AG17" s="69"/>
      <c r="AH17" s="69"/>
      <c r="AI17" s="69"/>
      <c r="AJ17" s="69"/>
      <c r="AK17" s="69"/>
      <c r="AL17" s="69"/>
      <c r="AM17" s="69"/>
      <c r="AN17" s="69"/>
      <c r="AO17" s="69"/>
      <c r="AP17" s="69"/>
      <c r="AQ17" s="69"/>
      <c r="AR17" s="69"/>
      <c r="AS17" s="69"/>
      <c r="AT17" s="69"/>
      <c r="AU17" s="69"/>
      <c r="AV17" s="69"/>
      <c r="AW17" s="69"/>
      <c r="AX17" s="69"/>
      <c r="AY17" s="69"/>
      <c r="AZ17" s="69"/>
      <c r="BA17" s="69"/>
    </row>
    <row r="18" customFormat="false" ht="23.85" hidden="false" customHeight="false" outlineLevel="0" collapsed="false">
      <c r="A18" s="90" t="s">
        <v>122</v>
      </c>
      <c r="B18" s="69" t="s">
        <v>123</v>
      </c>
      <c r="C18" s="69"/>
      <c r="D18" s="69"/>
      <c r="E18" s="69"/>
      <c r="F18" s="69"/>
      <c r="G18" s="69"/>
      <c r="H18" s="69"/>
      <c r="I18" s="69"/>
      <c r="J18" s="69"/>
      <c r="K18" s="69"/>
      <c r="L18" s="69"/>
      <c r="M18" s="69"/>
      <c r="N18" s="69"/>
      <c r="O18" s="69"/>
      <c r="P18" s="69"/>
      <c r="Q18" s="69"/>
      <c r="R18" s="69"/>
      <c r="S18" s="69"/>
      <c r="T18" s="69"/>
      <c r="U18" s="69"/>
      <c r="V18" s="69"/>
      <c r="W18" s="69"/>
      <c r="X18" s="69"/>
      <c r="Y18" s="69"/>
      <c r="Z18" s="69"/>
      <c r="AA18" s="69"/>
      <c r="AB18" s="69"/>
      <c r="AC18" s="69"/>
      <c r="AD18" s="69"/>
      <c r="AE18" s="69"/>
      <c r="AF18" s="69"/>
      <c r="AG18" s="69"/>
      <c r="AH18" s="69"/>
      <c r="AI18" s="69"/>
      <c r="AJ18" s="69"/>
      <c r="AK18" s="69"/>
      <c r="AL18" s="69"/>
      <c r="AM18" s="69"/>
      <c r="AN18" s="69"/>
      <c r="AO18" s="69"/>
      <c r="AP18" s="69"/>
      <c r="AQ18" s="69"/>
      <c r="AR18" s="69"/>
      <c r="AS18" s="69"/>
      <c r="AT18" s="69"/>
      <c r="AU18" s="69"/>
      <c r="AV18" s="69"/>
      <c r="AW18" s="69"/>
      <c r="AX18" s="69"/>
      <c r="AY18" s="69"/>
      <c r="AZ18" s="69"/>
      <c r="BA18" s="69"/>
    </row>
    <row r="19" customFormat="false" ht="23.85" hidden="false" customHeight="false" outlineLevel="0" collapsed="false">
      <c r="A19" s="90" t="s">
        <v>124</v>
      </c>
      <c r="B19" s="69" t="s">
        <v>125</v>
      </c>
      <c r="C19" s="69"/>
      <c r="D19" s="69"/>
      <c r="E19" s="69"/>
      <c r="F19" s="69"/>
      <c r="G19" s="69"/>
      <c r="H19" s="69"/>
      <c r="I19" s="69"/>
      <c r="J19" s="69"/>
      <c r="K19" s="69"/>
      <c r="L19" s="69"/>
      <c r="M19" s="69"/>
      <c r="N19" s="69"/>
      <c r="O19" s="69"/>
      <c r="P19" s="69"/>
      <c r="Q19" s="69"/>
      <c r="R19" s="69"/>
      <c r="S19" s="69"/>
      <c r="T19" s="69"/>
      <c r="U19" s="69"/>
      <c r="V19" s="69"/>
      <c r="W19" s="69"/>
      <c r="X19" s="69"/>
      <c r="Y19" s="69"/>
      <c r="Z19" s="69"/>
      <c r="AA19" s="69"/>
      <c r="AB19" s="69"/>
      <c r="AC19" s="69"/>
      <c r="AD19" s="69"/>
      <c r="AE19" s="69"/>
      <c r="AF19" s="69"/>
      <c r="AG19" s="69"/>
      <c r="AH19" s="69"/>
      <c r="AI19" s="69"/>
      <c r="AJ19" s="69"/>
      <c r="AK19" s="69"/>
      <c r="AL19" s="69"/>
      <c r="AM19" s="69"/>
      <c r="AN19" s="69"/>
      <c r="AO19" s="69"/>
      <c r="AP19" s="69"/>
      <c r="AQ19" s="69"/>
      <c r="AR19" s="69"/>
      <c r="AS19" s="69"/>
      <c r="AT19" s="69"/>
      <c r="AU19" s="69"/>
      <c r="AV19" s="69"/>
      <c r="AW19" s="69"/>
      <c r="AX19" s="69"/>
      <c r="AY19" s="69"/>
      <c r="AZ19" s="69"/>
      <c r="BA19" s="69"/>
    </row>
    <row r="20" customFormat="false" ht="15" hidden="false" customHeight="false" outlineLevel="0" collapsed="false">
      <c r="A20" s="90" t="s">
        <v>126</v>
      </c>
      <c r="B20" s="69" t="s">
        <v>127</v>
      </c>
      <c r="C20" s="69"/>
      <c r="D20" s="69"/>
      <c r="E20" s="69"/>
      <c r="F20" s="69"/>
      <c r="G20" s="69"/>
      <c r="H20" s="69"/>
      <c r="I20" s="69"/>
      <c r="J20" s="69"/>
      <c r="K20" s="69"/>
      <c r="L20" s="69"/>
      <c r="M20" s="69"/>
      <c r="N20" s="69"/>
      <c r="O20" s="69"/>
      <c r="P20" s="69"/>
      <c r="Q20" s="69"/>
      <c r="R20" s="69"/>
      <c r="S20" s="69"/>
      <c r="T20" s="69"/>
      <c r="U20" s="69"/>
      <c r="V20" s="69"/>
      <c r="W20" s="69"/>
      <c r="X20" s="69"/>
      <c r="Y20" s="69"/>
      <c r="Z20" s="69"/>
      <c r="AA20" s="69"/>
      <c r="AB20" s="69"/>
      <c r="AC20" s="69"/>
      <c r="AD20" s="69"/>
      <c r="AE20" s="69"/>
      <c r="AF20" s="69"/>
      <c r="AG20" s="69"/>
      <c r="AH20" s="69"/>
      <c r="AI20" s="69"/>
      <c r="AJ20" s="69"/>
      <c r="AK20" s="69"/>
      <c r="AL20" s="69"/>
      <c r="AM20" s="69"/>
      <c r="AN20" s="69"/>
      <c r="AO20" s="69"/>
      <c r="AP20" s="69"/>
      <c r="AQ20" s="69"/>
      <c r="AR20" s="69"/>
      <c r="AS20" s="69"/>
      <c r="AT20" s="69"/>
      <c r="AU20" s="69"/>
      <c r="AV20" s="69"/>
      <c r="AW20" s="69"/>
      <c r="AX20" s="69"/>
      <c r="AY20" s="69"/>
      <c r="AZ20" s="69"/>
      <c r="BA20" s="69"/>
    </row>
    <row r="21" customFormat="false" ht="15" hidden="false" customHeight="false" outlineLevel="0" collapsed="false">
      <c r="A21" s="90" t="s">
        <v>128</v>
      </c>
      <c r="B21" s="69" t="s">
        <v>129</v>
      </c>
      <c r="C21" s="69"/>
      <c r="D21" s="69"/>
      <c r="E21" s="69"/>
      <c r="F21" s="69"/>
      <c r="G21" s="69"/>
      <c r="H21" s="69"/>
      <c r="I21" s="69"/>
      <c r="J21" s="69"/>
      <c r="K21" s="69"/>
      <c r="L21" s="69"/>
      <c r="M21" s="69"/>
      <c r="N21" s="69"/>
      <c r="O21" s="69"/>
      <c r="P21" s="69"/>
      <c r="Q21" s="69"/>
      <c r="R21" s="69"/>
      <c r="S21" s="69"/>
      <c r="T21" s="69"/>
      <c r="U21" s="69"/>
      <c r="V21" s="69"/>
      <c r="W21" s="69"/>
      <c r="X21" s="69"/>
      <c r="Y21" s="69"/>
      <c r="Z21" s="69"/>
      <c r="AA21" s="69"/>
      <c r="AB21" s="69"/>
      <c r="AC21" s="69"/>
      <c r="AD21" s="69"/>
      <c r="AE21" s="69"/>
      <c r="AF21" s="69"/>
      <c r="AG21" s="69"/>
      <c r="AH21" s="69"/>
      <c r="AI21" s="69"/>
      <c r="AJ21" s="69"/>
      <c r="AK21" s="69"/>
      <c r="AL21" s="69"/>
      <c r="AM21" s="69"/>
      <c r="AN21" s="69"/>
      <c r="AO21" s="69"/>
      <c r="AP21" s="69"/>
      <c r="AQ21" s="69"/>
      <c r="AR21" s="69"/>
      <c r="AS21" s="69"/>
      <c r="AT21" s="69"/>
      <c r="AU21" s="69"/>
      <c r="AV21" s="69"/>
      <c r="AW21" s="69"/>
      <c r="AX21" s="69"/>
      <c r="AY21" s="69"/>
      <c r="AZ21" s="69"/>
      <c r="BA21" s="69"/>
    </row>
    <row r="22" customFormat="false" ht="23.85" hidden="false" customHeight="false" outlineLevel="0" collapsed="false">
      <c r="A22" s="90" t="s">
        <v>130</v>
      </c>
      <c r="B22" s="69" t="s">
        <v>131</v>
      </c>
      <c r="C22" s="69"/>
      <c r="D22" s="69"/>
      <c r="E22" s="69"/>
      <c r="F22" s="69"/>
      <c r="G22" s="69"/>
      <c r="H22" s="69"/>
      <c r="I22" s="69"/>
      <c r="J22" s="69"/>
      <c r="K22" s="69"/>
      <c r="L22" s="69"/>
      <c r="M22" s="69"/>
      <c r="N22" s="69"/>
      <c r="O22" s="69"/>
      <c r="P22" s="69"/>
      <c r="Q22" s="69"/>
      <c r="R22" s="69"/>
      <c r="S22" s="69"/>
      <c r="T22" s="69"/>
      <c r="U22" s="69"/>
      <c r="V22" s="69"/>
      <c r="W22" s="69"/>
      <c r="X22" s="69"/>
      <c r="Y22" s="69"/>
      <c r="Z22" s="69"/>
      <c r="AA22" s="69"/>
      <c r="AB22" s="69"/>
      <c r="AC22" s="69"/>
      <c r="AD22" s="69"/>
      <c r="AE22" s="69"/>
      <c r="AF22" s="69"/>
      <c r="AG22" s="69"/>
      <c r="AH22" s="69"/>
      <c r="AI22" s="69"/>
      <c r="AJ22" s="69"/>
      <c r="AK22" s="69"/>
      <c r="AL22" s="69"/>
      <c r="AM22" s="69"/>
      <c r="AN22" s="69"/>
      <c r="AO22" s="69"/>
      <c r="AP22" s="69"/>
      <c r="AQ22" s="69"/>
      <c r="AR22" s="69"/>
      <c r="AS22" s="69"/>
      <c r="AT22" s="69"/>
      <c r="AU22" s="69"/>
      <c r="AV22" s="69"/>
      <c r="AW22" s="69"/>
      <c r="AX22" s="69"/>
      <c r="AY22" s="69"/>
      <c r="AZ22" s="69"/>
      <c r="BA22" s="69"/>
    </row>
    <row r="23" customFormat="false" ht="23.85" hidden="false" customHeight="false" outlineLevel="0" collapsed="false">
      <c r="A23" s="90" t="s">
        <v>132</v>
      </c>
      <c r="B23" s="69" t="s">
        <v>133</v>
      </c>
      <c r="C23" s="69"/>
      <c r="D23" s="69"/>
      <c r="E23" s="69"/>
      <c r="F23" s="69"/>
      <c r="G23" s="69"/>
      <c r="H23" s="69"/>
      <c r="I23" s="69"/>
      <c r="J23" s="69"/>
      <c r="K23" s="69"/>
      <c r="L23" s="69"/>
      <c r="M23" s="69"/>
      <c r="N23" s="69"/>
      <c r="O23" s="69"/>
      <c r="P23" s="69"/>
      <c r="Q23" s="69"/>
      <c r="R23" s="69"/>
      <c r="S23" s="69"/>
      <c r="T23" s="69"/>
      <c r="U23" s="69"/>
      <c r="V23" s="69"/>
      <c r="W23" s="69"/>
      <c r="X23" s="69"/>
      <c r="Y23" s="69"/>
      <c r="Z23" s="69"/>
      <c r="AA23" s="69"/>
      <c r="AB23" s="69"/>
      <c r="AC23" s="69"/>
      <c r="AD23" s="69"/>
      <c r="AE23" s="69"/>
      <c r="AF23" s="69"/>
      <c r="AG23" s="69"/>
      <c r="AH23" s="69"/>
      <c r="AI23" s="69"/>
      <c r="AJ23" s="69"/>
      <c r="AK23" s="69"/>
      <c r="AL23" s="69"/>
      <c r="AM23" s="69"/>
      <c r="AN23" s="69"/>
      <c r="AO23" s="69"/>
      <c r="AP23" s="69"/>
      <c r="AQ23" s="69"/>
      <c r="AR23" s="69"/>
      <c r="AS23" s="69"/>
      <c r="AT23" s="69"/>
      <c r="AU23" s="69"/>
      <c r="AV23" s="69"/>
      <c r="AW23" s="69"/>
      <c r="AX23" s="69"/>
      <c r="AY23" s="69"/>
      <c r="AZ23" s="69"/>
      <c r="BA23" s="69"/>
    </row>
    <row r="24" customFormat="false" ht="15" hidden="false" customHeight="false" outlineLevel="0" collapsed="false">
      <c r="A24" s="90" t="s">
        <v>134</v>
      </c>
      <c r="B24" s="69" t="s">
        <v>135</v>
      </c>
      <c r="C24" s="69"/>
      <c r="D24" s="69"/>
      <c r="E24" s="69"/>
      <c r="F24" s="69"/>
      <c r="G24" s="69"/>
      <c r="H24" s="69"/>
      <c r="I24" s="69"/>
      <c r="J24" s="69"/>
      <c r="K24" s="69"/>
      <c r="L24" s="69"/>
      <c r="M24" s="69"/>
      <c r="N24" s="69"/>
      <c r="O24" s="69"/>
      <c r="P24" s="69"/>
      <c r="Q24" s="69"/>
      <c r="R24" s="69"/>
      <c r="S24" s="69"/>
      <c r="T24" s="69"/>
      <c r="U24" s="69"/>
      <c r="V24" s="69"/>
      <c r="W24" s="69"/>
      <c r="X24" s="69"/>
      <c r="Y24" s="69"/>
      <c r="Z24" s="69"/>
      <c r="AA24" s="69"/>
      <c r="AB24" s="69"/>
      <c r="AC24" s="69"/>
      <c r="AD24" s="69"/>
      <c r="AE24" s="69"/>
      <c r="AF24" s="69"/>
      <c r="AG24" s="69"/>
      <c r="AH24" s="69"/>
      <c r="AI24" s="69"/>
      <c r="AJ24" s="69"/>
      <c r="AK24" s="69"/>
      <c r="AL24" s="69"/>
      <c r="AM24" s="69"/>
      <c r="AN24" s="69"/>
      <c r="AO24" s="69"/>
      <c r="AP24" s="69"/>
      <c r="AQ24" s="69"/>
      <c r="AR24" s="69"/>
      <c r="AS24" s="69"/>
      <c r="AT24" s="69"/>
      <c r="AU24" s="69"/>
      <c r="AV24" s="69"/>
      <c r="AW24" s="69"/>
      <c r="AX24" s="69"/>
      <c r="AY24" s="69"/>
      <c r="AZ24" s="69"/>
      <c r="BA24" s="69"/>
    </row>
    <row r="25" customFormat="false" ht="23.85" hidden="false" customHeight="false" outlineLevel="0" collapsed="false">
      <c r="A25" s="90" t="s">
        <v>136</v>
      </c>
      <c r="B25" s="69" t="s">
        <v>137</v>
      </c>
      <c r="C25" s="69"/>
      <c r="D25" s="69"/>
      <c r="E25" s="69"/>
      <c r="F25" s="69"/>
      <c r="G25" s="69"/>
      <c r="H25" s="69"/>
      <c r="I25" s="69"/>
      <c r="J25" s="69"/>
      <c r="K25" s="69"/>
      <c r="L25" s="69"/>
      <c r="M25" s="69"/>
      <c r="N25" s="69"/>
      <c r="O25" s="69"/>
      <c r="P25" s="69"/>
      <c r="Q25" s="69"/>
      <c r="R25" s="69"/>
      <c r="S25" s="69"/>
      <c r="T25" s="69"/>
      <c r="U25" s="69"/>
      <c r="V25" s="69"/>
      <c r="W25" s="69"/>
      <c r="X25" s="69"/>
      <c r="Y25" s="69"/>
      <c r="Z25" s="69"/>
      <c r="AA25" s="69"/>
      <c r="AB25" s="69"/>
      <c r="AC25" s="69"/>
      <c r="AD25" s="69"/>
      <c r="AE25" s="69"/>
      <c r="AF25" s="69"/>
      <c r="AG25" s="69"/>
      <c r="AH25" s="69"/>
      <c r="AI25" s="69"/>
      <c r="AJ25" s="69"/>
      <c r="AK25" s="69"/>
      <c r="AL25" s="69"/>
      <c r="AM25" s="69"/>
      <c r="AN25" s="69"/>
      <c r="AO25" s="69"/>
      <c r="AP25" s="69"/>
      <c r="AQ25" s="69"/>
      <c r="AR25" s="69"/>
      <c r="AS25" s="69"/>
      <c r="AT25" s="69"/>
      <c r="AU25" s="69"/>
      <c r="AV25" s="69"/>
      <c r="AW25" s="69"/>
      <c r="AX25" s="69"/>
      <c r="AY25" s="69"/>
      <c r="AZ25" s="69"/>
      <c r="BA25" s="69"/>
    </row>
    <row r="26" customFormat="false" ht="23.85" hidden="false" customHeight="false" outlineLevel="0" collapsed="false">
      <c r="A26" s="90" t="s">
        <v>138</v>
      </c>
      <c r="B26" s="69" t="s">
        <v>139</v>
      </c>
      <c r="C26" s="69"/>
      <c r="D26" s="69"/>
      <c r="E26" s="69"/>
      <c r="F26" s="69"/>
      <c r="G26" s="69"/>
      <c r="H26" s="69"/>
      <c r="I26" s="69"/>
      <c r="J26" s="69"/>
      <c r="K26" s="69"/>
      <c r="L26" s="69"/>
      <c r="M26" s="69"/>
      <c r="N26" s="69"/>
      <c r="O26" s="69"/>
      <c r="P26" s="69"/>
      <c r="Q26" s="69"/>
      <c r="R26" s="69"/>
      <c r="S26" s="69"/>
      <c r="T26" s="69"/>
      <c r="U26" s="69"/>
      <c r="V26" s="69"/>
      <c r="W26" s="69"/>
      <c r="X26" s="69"/>
      <c r="Y26" s="69"/>
      <c r="Z26" s="69"/>
      <c r="AA26" s="69"/>
      <c r="AB26" s="69"/>
      <c r="AC26" s="69"/>
      <c r="AD26" s="69"/>
      <c r="AE26" s="69"/>
      <c r="AF26" s="69"/>
      <c r="AG26" s="69"/>
      <c r="AH26" s="69"/>
      <c r="AI26" s="69"/>
      <c r="AJ26" s="69"/>
      <c r="AK26" s="69"/>
      <c r="AL26" s="69"/>
      <c r="AM26" s="69"/>
      <c r="AN26" s="69"/>
      <c r="AO26" s="69"/>
      <c r="AP26" s="69"/>
      <c r="AQ26" s="69"/>
      <c r="AR26" s="69"/>
      <c r="AS26" s="69"/>
      <c r="AT26" s="69"/>
      <c r="AU26" s="69"/>
      <c r="AV26" s="69"/>
      <c r="AW26" s="69"/>
      <c r="AX26" s="69"/>
      <c r="AY26" s="69"/>
      <c r="AZ26" s="69"/>
      <c r="BA26" s="69"/>
    </row>
    <row r="27" customFormat="false" ht="15" hidden="false" customHeight="false" outlineLevel="0" collapsed="false">
      <c r="A27" s="90" t="s">
        <v>140</v>
      </c>
      <c r="B27" s="69" t="s">
        <v>141</v>
      </c>
      <c r="C27" s="69"/>
      <c r="D27" s="69"/>
      <c r="E27" s="69"/>
      <c r="F27" s="69"/>
      <c r="G27" s="69"/>
      <c r="H27" s="69"/>
      <c r="I27" s="69"/>
      <c r="J27" s="69"/>
      <c r="K27" s="69"/>
      <c r="L27" s="69"/>
      <c r="M27" s="69"/>
      <c r="N27" s="69"/>
      <c r="O27" s="69"/>
      <c r="P27" s="69"/>
      <c r="Q27" s="69"/>
      <c r="R27" s="69"/>
      <c r="S27" s="69"/>
      <c r="T27" s="69"/>
      <c r="U27" s="69"/>
      <c r="V27" s="69"/>
      <c r="W27" s="69"/>
      <c r="X27" s="69"/>
      <c r="Y27" s="69"/>
      <c r="Z27" s="69"/>
      <c r="AA27" s="69"/>
      <c r="AB27" s="69"/>
      <c r="AC27" s="69"/>
      <c r="AD27" s="69"/>
      <c r="AE27" s="69"/>
      <c r="AF27" s="69"/>
      <c r="AG27" s="69"/>
      <c r="AH27" s="69"/>
      <c r="AI27" s="69"/>
      <c r="AJ27" s="69"/>
      <c r="AK27" s="69"/>
      <c r="AL27" s="69"/>
      <c r="AM27" s="69"/>
      <c r="AN27" s="69"/>
      <c r="AO27" s="69"/>
      <c r="AP27" s="69"/>
      <c r="AQ27" s="69"/>
      <c r="AR27" s="69"/>
      <c r="AS27" s="69"/>
      <c r="AT27" s="69"/>
      <c r="AU27" s="69"/>
      <c r="AV27" s="69"/>
      <c r="AW27" s="69"/>
      <c r="AX27" s="69"/>
      <c r="AY27" s="69"/>
      <c r="AZ27" s="69"/>
      <c r="BA27" s="69"/>
    </row>
    <row r="28" customFormat="false" ht="15" hidden="false" customHeight="false" outlineLevel="0" collapsed="false">
      <c r="A28" s="90" t="s">
        <v>142</v>
      </c>
      <c r="B28" s="69" t="s">
        <v>143</v>
      </c>
      <c r="C28" s="69"/>
      <c r="D28" s="69"/>
      <c r="E28" s="69"/>
      <c r="F28" s="69"/>
      <c r="G28" s="69"/>
      <c r="H28" s="69"/>
      <c r="I28" s="69"/>
      <c r="J28" s="69"/>
      <c r="K28" s="69"/>
      <c r="L28" s="69"/>
      <c r="M28" s="69"/>
      <c r="N28" s="69"/>
      <c r="O28" s="69"/>
      <c r="P28" s="69"/>
      <c r="Q28" s="69"/>
      <c r="R28" s="69"/>
      <c r="S28" s="69"/>
      <c r="T28" s="69"/>
      <c r="U28" s="69"/>
      <c r="V28" s="69"/>
      <c r="W28" s="69"/>
      <c r="X28" s="69"/>
      <c r="Y28" s="69"/>
      <c r="Z28" s="69"/>
      <c r="AA28" s="69"/>
      <c r="AB28" s="69"/>
      <c r="AC28" s="69"/>
      <c r="AD28" s="69"/>
      <c r="AE28" s="69"/>
      <c r="AF28" s="69"/>
      <c r="AG28" s="69"/>
      <c r="AH28" s="69"/>
      <c r="AI28" s="69"/>
      <c r="AJ28" s="69"/>
      <c r="AK28" s="69"/>
      <c r="AL28" s="69"/>
      <c r="AM28" s="69"/>
      <c r="AN28" s="69"/>
      <c r="AO28" s="69"/>
      <c r="AP28" s="69"/>
      <c r="AQ28" s="69"/>
      <c r="AR28" s="69"/>
      <c r="AS28" s="69"/>
      <c r="AT28" s="69"/>
      <c r="AU28" s="69"/>
      <c r="AV28" s="69"/>
      <c r="AW28" s="69"/>
      <c r="AX28" s="69"/>
      <c r="AY28" s="69"/>
      <c r="AZ28" s="69"/>
      <c r="BA28" s="69"/>
    </row>
    <row r="29" customFormat="false" ht="15" hidden="false" customHeight="false" outlineLevel="0" collapsed="false">
      <c r="A29" s="90" t="s">
        <v>144</v>
      </c>
      <c r="B29" s="69" t="s">
        <v>145</v>
      </c>
      <c r="C29" s="69"/>
      <c r="D29" s="69"/>
      <c r="E29" s="69"/>
      <c r="F29" s="69"/>
      <c r="G29" s="69"/>
      <c r="H29" s="69"/>
      <c r="I29" s="69"/>
      <c r="J29" s="69"/>
      <c r="K29" s="69"/>
      <c r="L29" s="69"/>
      <c r="M29" s="69"/>
      <c r="N29" s="69"/>
      <c r="O29" s="69"/>
      <c r="P29" s="69"/>
      <c r="Q29" s="69"/>
      <c r="R29" s="69"/>
      <c r="S29" s="69"/>
      <c r="T29" s="69"/>
      <c r="U29" s="69"/>
      <c r="V29" s="69"/>
      <c r="W29" s="69"/>
      <c r="X29" s="69"/>
      <c r="Y29" s="69"/>
      <c r="Z29" s="69"/>
      <c r="AA29" s="69"/>
      <c r="AB29" s="69"/>
      <c r="AC29" s="69"/>
      <c r="AD29" s="69"/>
      <c r="AE29" s="69"/>
      <c r="AF29" s="69"/>
      <c r="AG29" s="69"/>
      <c r="AH29" s="69"/>
      <c r="AI29" s="69"/>
      <c r="AJ29" s="69"/>
      <c r="AK29" s="69"/>
      <c r="AL29" s="69"/>
      <c r="AM29" s="69"/>
      <c r="AN29" s="69"/>
      <c r="AO29" s="69"/>
      <c r="AP29" s="69"/>
      <c r="AQ29" s="69"/>
      <c r="AR29" s="69"/>
      <c r="AS29" s="69"/>
      <c r="AT29" s="69"/>
      <c r="AU29" s="69"/>
      <c r="AV29" s="69"/>
      <c r="AW29" s="69"/>
      <c r="AX29" s="69"/>
      <c r="AY29" s="69"/>
      <c r="AZ29" s="69"/>
      <c r="BA29" s="69"/>
    </row>
    <row r="30" s="90" customFormat="true" ht="23.85" hidden="false" customHeight="false" outlineLevel="0" collapsed="false">
      <c r="A30" s="90" t="s">
        <v>146</v>
      </c>
      <c r="B30" s="92" t="s">
        <v>147</v>
      </c>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92"/>
      <c r="AH30" s="92"/>
      <c r="AI30" s="92"/>
      <c r="AJ30" s="92"/>
      <c r="AK30" s="92"/>
      <c r="AL30" s="92"/>
      <c r="AM30" s="92"/>
      <c r="AN30" s="92"/>
      <c r="AO30" s="92"/>
      <c r="AP30" s="92"/>
      <c r="AQ30" s="92"/>
      <c r="AR30" s="92"/>
      <c r="AS30" s="92"/>
      <c r="AT30" s="92"/>
      <c r="AU30" s="92"/>
      <c r="AV30" s="92"/>
      <c r="AW30" s="92"/>
      <c r="AX30" s="92"/>
      <c r="AY30" s="92"/>
      <c r="AZ30" s="92"/>
      <c r="BA30" s="92"/>
    </row>
    <row r="31" customFormat="false" ht="23.85" hidden="false" customHeight="false" outlineLevel="0" collapsed="false">
      <c r="A31" s="90" t="s">
        <v>148</v>
      </c>
      <c r="B31" s="69"/>
      <c r="C31" s="69"/>
      <c r="D31" s="69"/>
      <c r="E31" s="69"/>
      <c r="F31" s="69"/>
      <c r="G31" s="69"/>
      <c r="H31" s="69"/>
      <c r="I31" s="69"/>
      <c r="J31" s="69"/>
      <c r="K31" s="69"/>
      <c r="L31" s="69"/>
      <c r="M31" s="69"/>
      <c r="N31" s="69"/>
      <c r="O31" s="69"/>
      <c r="P31" s="69"/>
      <c r="Q31" s="69"/>
      <c r="R31" s="69"/>
      <c r="S31" s="69"/>
      <c r="T31" s="69"/>
      <c r="U31" s="69"/>
      <c r="V31" s="69"/>
      <c r="W31" s="69"/>
      <c r="X31" s="69"/>
      <c r="Y31" s="69"/>
      <c r="Z31" s="69"/>
      <c r="AA31" s="69"/>
      <c r="AB31" s="69"/>
      <c r="AC31" s="69"/>
      <c r="AD31" s="69"/>
      <c r="AE31" s="69"/>
      <c r="AF31" s="69"/>
      <c r="AG31" s="69"/>
      <c r="AH31" s="69"/>
      <c r="AI31" s="69"/>
      <c r="AJ31" s="69"/>
      <c r="AK31" s="69"/>
      <c r="AL31" s="69"/>
      <c r="AM31" s="69"/>
      <c r="AN31" s="69"/>
      <c r="AO31" s="69"/>
      <c r="AP31" s="69"/>
      <c r="AQ31" s="69"/>
      <c r="AR31" s="69"/>
      <c r="AS31" s="69"/>
      <c r="AT31" s="69"/>
      <c r="AU31" s="69"/>
      <c r="AV31" s="69"/>
      <c r="AW31" s="69"/>
      <c r="AX31" s="69"/>
      <c r="AY31" s="69"/>
      <c r="AZ31" s="69"/>
      <c r="BA31" s="69"/>
    </row>
    <row r="32" customFormat="false" ht="15" hidden="false" customHeight="false" outlineLevel="0" collapsed="false">
      <c r="B32" s="69"/>
      <c r="C32" s="69"/>
      <c r="D32" s="69"/>
      <c r="E32" s="69"/>
      <c r="F32" s="69"/>
      <c r="G32" s="69"/>
      <c r="H32" s="69"/>
      <c r="I32" s="69"/>
      <c r="J32" s="69"/>
      <c r="K32" s="69"/>
      <c r="L32" s="69"/>
      <c r="M32" s="69"/>
      <c r="N32" s="69"/>
      <c r="O32" s="69"/>
      <c r="P32" s="69"/>
      <c r="Q32" s="69"/>
      <c r="R32" s="69"/>
      <c r="S32" s="69"/>
      <c r="T32" s="69"/>
      <c r="U32" s="69"/>
      <c r="V32" s="69"/>
      <c r="W32" s="69"/>
      <c r="X32" s="69"/>
      <c r="Y32" s="69"/>
      <c r="Z32" s="69"/>
      <c r="AA32" s="69"/>
      <c r="AB32" s="69"/>
      <c r="AC32" s="69"/>
      <c r="AD32" s="69"/>
      <c r="AE32" s="69"/>
      <c r="AF32" s="69"/>
      <c r="AG32" s="69"/>
      <c r="AH32" s="69"/>
      <c r="AI32" s="69"/>
      <c r="AJ32" s="69"/>
      <c r="AK32" s="69"/>
      <c r="AL32" s="69"/>
      <c r="AM32" s="69"/>
      <c r="AN32" s="69"/>
      <c r="AO32" s="69"/>
      <c r="AP32" s="69"/>
      <c r="AQ32" s="69"/>
      <c r="AR32" s="69"/>
      <c r="AS32" s="69"/>
      <c r="AT32" s="69"/>
      <c r="AU32" s="69"/>
      <c r="AV32" s="69"/>
      <c r="AW32" s="69"/>
      <c r="AX32" s="69"/>
      <c r="AY32" s="69"/>
      <c r="AZ32" s="69"/>
      <c r="BA32" s="69"/>
    </row>
    <row r="33" customFormat="false" ht="15" hidden="false" customHeight="false" outlineLevel="0" collapsed="false">
      <c r="B33" s="69"/>
      <c r="C33" s="69"/>
      <c r="D33" s="69"/>
      <c r="E33" s="69"/>
      <c r="F33" s="69"/>
      <c r="G33" s="69"/>
      <c r="H33" s="69"/>
      <c r="I33" s="69"/>
      <c r="J33" s="69"/>
      <c r="K33" s="69"/>
      <c r="L33" s="69"/>
      <c r="M33" s="69"/>
      <c r="N33" s="69"/>
      <c r="O33" s="69"/>
      <c r="P33" s="69"/>
      <c r="Q33" s="69"/>
      <c r="R33" s="69"/>
      <c r="S33" s="69"/>
      <c r="T33" s="69"/>
      <c r="U33" s="69"/>
      <c r="V33" s="69"/>
      <c r="W33" s="69"/>
      <c r="X33" s="69"/>
      <c r="Y33" s="69"/>
      <c r="Z33" s="69"/>
      <c r="AA33" s="69"/>
      <c r="AB33" s="69"/>
      <c r="AC33" s="69"/>
      <c r="AD33" s="69"/>
      <c r="AE33" s="69"/>
      <c r="AF33" s="69"/>
      <c r="AG33" s="69"/>
      <c r="AH33" s="69"/>
      <c r="AI33" s="69"/>
      <c r="AJ33" s="69"/>
      <c r="AK33" s="69"/>
      <c r="AL33" s="69"/>
      <c r="AM33" s="69"/>
      <c r="AN33" s="69"/>
      <c r="AO33" s="69"/>
      <c r="AP33" s="69"/>
      <c r="AQ33" s="69"/>
      <c r="AR33" s="69"/>
      <c r="AS33" s="69"/>
      <c r="AT33" s="69"/>
      <c r="AU33" s="69"/>
      <c r="AV33" s="69"/>
      <c r="AW33" s="69"/>
      <c r="AX33" s="69"/>
      <c r="AY33" s="69"/>
      <c r="AZ33" s="69"/>
      <c r="BA33" s="69"/>
    </row>
    <row r="34" customFormat="false" ht="15" hidden="false" customHeight="false" outlineLevel="0" collapsed="false">
      <c r="B34" s="69"/>
      <c r="C34" s="69"/>
      <c r="D34" s="69"/>
      <c r="E34" s="69"/>
      <c r="F34" s="69"/>
      <c r="G34" s="69"/>
      <c r="H34" s="69"/>
      <c r="I34" s="69"/>
      <c r="J34" s="69"/>
      <c r="K34" s="69"/>
      <c r="L34" s="69"/>
      <c r="M34" s="69"/>
      <c r="N34" s="69"/>
      <c r="O34" s="69"/>
      <c r="P34" s="69"/>
      <c r="Q34" s="69"/>
      <c r="R34" s="69"/>
      <c r="S34" s="69"/>
      <c r="T34" s="69"/>
      <c r="U34" s="69"/>
      <c r="V34" s="69"/>
      <c r="W34" s="69"/>
      <c r="X34" s="69"/>
      <c r="Y34" s="69"/>
      <c r="Z34" s="69"/>
      <c r="AA34" s="69"/>
      <c r="AB34" s="69"/>
      <c r="AC34" s="69"/>
      <c r="AD34" s="69"/>
      <c r="AE34" s="69"/>
      <c r="AF34" s="69"/>
      <c r="AG34" s="69"/>
      <c r="AH34" s="69"/>
      <c r="AI34" s="69"/>
      <c r="AJ34" s="69"/>
      <c r="AK34" s="69"/>
      <c r="AL34" s="69"/>
      <c r="AM34" s="69"/>
      <c r="AN34" s="69"/>
      <c r="AO34" s="69"/>
      <c r="AP34" s="69"/>
      <c r="AQ34" s="69"/>
      <c r="AR34" s="69"/>
      <c r="AS34" s="69"/>
      <c r="AT34" s="69"/>
      <c r="AU34" s="69"/>
      <c r="AV34" s="69"/>
      <c r="AW34" s="69"/>
      <c r="AX34" s="69"/>
      <c r="AY34" s="69"/>
      <c r="AZ34" s="69"/>
      <c r="BA34" s="69"/>
    </row>
    <row r="35" customFormat="false" ht="15" hidden="false" customHeight="false" outlineLevel="0" collapsed="false">
      <c r="B35" s="69"/>
      <c r="C35" s="69"/>
      <c r="D35" s="69"/>
      <c r="E35" s="69"/>
      <c r="F35" s="69"/>
      <c r="G35" s="69"/>
      <c r="H35" s="69"/>
      <c r="I35" s="69"/>
      <c r="J35" s="69"/>
      <c r="K35" s="69"/>
      <c r="L35" s="69"/>
      <c r="M35" s="69"/>
      <c r="N35" s="69"/>
      <c r="O35" s="69"/>
      <c r="P35" s="69"/>
      <c r="Q35" s="69"/>
      <c r="R35" s="69"/>
      <c r="S35" s="69"/>
      <c r="T35" s="69"/>
      <c r="U35" s="69"/>
      <c r="V35" s="69"/>
      <c r="W35" s="69"/>
      <c r="X35" s="69"/>
      <c r="Y35" s="69"/>
      <c r="Z35" s="69"/>
      <c r="AA35" s="69"/>
      <c r="AB35" s="69"/>
      <c r="AC35" s="69"/>
      <c r="AD35" s="69"/>
      <c r="AE35" s="69"/>
      <c r="AF35" s="69"/>
      <c r="AG35" s="69"/>
      <c r="AH35" s="69"/>
      <c r="AI35" s="69"/>
      <c r="AJ35" s="69"/>
      <c r="AK35" s="69"/>
      <c r="AL35" s="69"/>
      <c r="AM35" s="69"/>
      <c r="AN35" s="69"/>
      <c r="AO35" s="69"/>
      <c r="AP35" s="69"/>
      <c r="AQ35" s="69"/>
      <c r="AR35" s="69"/>
      <c r="AS35" s="69"/>
      <c r="AT35" s="69"/>
      <c r="AU35" s="69"/>
      <c r="AV35" s="69"/>
      <c r="AW35" s="69"/>
      <c r="AX35" s="69"/>
      <c r="AY35" s="69"/>
      <c r="AZ35" s="69"/>
      <c r="BA35" s="69"/>
    </row>
    <row r="36" customFormat="false" ht="15" hidden="false" customHeight="false" outlineLevel="0" collapsed="false">
      <c r="B36" s="69"/>
      <c r="C36" s="69"/>
      <c r="D36" s="69"/>
      <c r="E36" s="69"/>
      <c r="F36" s="69"/>
      <c r="G36" s="69"/>
      <c r="H36" s="69"/>
      <c r="I36" s="69"/>
      <c r="J36" s="69"/>
      <c r="K36" s="69"/>
      <c r="L36" s="69"/>
      <c r="M36" s="69"/>
      <c r="N36" s="69"/>
      <c r="O36" s="69"/>
      <c r="P36" s="69"/>
      <c r="Q36" s="69"/>
      <c r="R36" s="69"/>
      <c r="S36" s="69"/>
      <c r="T36" s="69"/>
      <c r="U36" s="69"/>
      <c r="V36" s="69"/>
      <c r="W36" s="69"/>
      <c r="X36" s="69"/>
      <c r="Y36" s="69"/>
      <c r="Z36" s="69"/>
      <c r="AA36" s="69"/>
      <c r="AB36" s="69"/>
      <c r="AC36" s="69"/>
      <c r="AD36" s="69"/>
      <c r="AE36" s="69"/>
      <c r="AF36" s="69"/>
      <c r="AG36" s="69"/>
      <c r="AH36" s="69"/>
      <c r="AI36" s="69"/>
      <c r="AJ36" s="69"/>
      <c r="AK36" s="69"/>
      <c r="AL36" s="69"/>
      <c r="AM36" s="69"/>
      <c r="AN36" s="69"/>
      <c r="AO36" s="69"/>
      <c r="AP36" s="69"/>
      <c r="AQ36" s="69"/>
      <c r="AR36" s="69"/>
      <c r="AS36" s="69"/>
      <c r="AT36" s="69"/>
      <c r="AU36" s="69"/>
      <c r="AV36" s="69"/>
      <c r="AW36" s="69"/>
      <c r="AX36" s="69"/>
      <c r="AY36" s="69"/>
      <c r="AZ36" s="69"/>
      <c r="BA36" s="69"/>
    </row>
    <row r="37" customFormat="false" ht="15" hidden="false" customHeight="false" outlineLevel="0" collapsed="false">
      <c r="B37" s="69"/>
      <c r="C37" s="69"/>
      <c r="D37" s="69"/>
      <c r="E37" s="69"/>
      <c r="F37" s="69"/>
      <c r="G37" s="69"/>
      <c r="H37" s="69"/>
      <c r="I37" s="69"/>
      <c r="J37" s="69"/>
      <c r="K37" s="69"/>
      <c r="L37" s="69"/>
      <c r="M37" s="69"/>
      <c r="N37" s="69"/>
      <c r="O37" s="69"/>
      <c r="P37" s="69"/>
      <c r="Q37" s="69"/>
      <c r="R37" s="69"/>
      <c r="S37" s="69"/>
      <c r="T37" s="69"/>
      <c r="U37" s="69"/>
      <c r="V37" s="69"/>
      <c r="W37" s="69"/>
      <c r="X37" s="69"/>
      <c r="Y37" s="69"/>
      <c r="Z37" s="69"/>
      <c r="AA37" s="69"/>
      <c r="AB37" s="69"/>
      <c r="AC37" s="69"/>
      <c r="AD37" s="69"/>
      <c r="AE37" s="69"/>
      <c r="AF37" s="69"/>
      <c r="AG37" s="69"/>
      <c r="AH37" s="69"/>
      <c r="AI37" s="69"/>
      <c r="AJ37" s="69"/>
      <c r="AK37" s="69"/>
      <c r="AL37" s="69"/>
      <c r="AM37" s="69"/>
      <c r="AN37" s="69"/>
      <c r="AO37" s="69"/>
      <c r="AP37" s="69"/>
      <c r="AQ37" s="69"/>
      <c r="AR37" s="69"/>
      <c r="AS37" s="69"/>
      <c r="AT37" s="69"/>
      <c r="AU37" s="69"/>
      <c r="AV37" s="69"/>
      <c r="AW37" s="69"/>
      <c r="AX37" s="69"/>
      <c r="AY37" s="69"/>
      <c r="AZ37" s="69"/>
      <c r="BA37" s="69"/>
    </row>
    <row r="38" customFormat="false" ht="15" hidden="false" customHeight="false" outlineLevel="0" collapsed="false">
      <c r="B38" s="69"/>
      <c r="C38" s="69"/>
      <c r="D38" s="69"/>
      <c r="E38" s="69"/>
      <c r="F38" s="69"/>
      <c r="G38" s="69"/>
      <c r="H38" s="69"/>
      <c r="I38" s="69"/>
      <c r="J38" s="69"/>
      <c r="K38" s="69"/>
      <c r="L38" s="69"/>
      <c r="M38" s="69"/>
      <c r="N38" s="69"/>
      <c r="O38" s="69"/>
      <c r="P38" s="69"/>
      <c r="Q38" s="69"/>
      <c r="R38" s="69"/>
      <c r="S38" s="69"/>
      <c r="T38" s="69"/>
      <c r="U38" s="69"/>
      <c r="V38" s="69"/>
      <c r="W38" s="69"/>
      <c r="X38" s="69"/>
      <c r="Y38" s="69"/>
      <c r="Z38" s="69"/>
      <c r="AA38" s="69"/>
      <c r="AB38" s="69"/>
      <c r="AC38" s="69"/>
      <c r="AD38" s="69"/>
      <c r="AE38" s="69"/>
      <c r="AF38" s="69"/>
      <c r="AG38" s="69"/>
      <c r="AH38" s="69"/>
      <c r="AI38" s="69"/>
      <c r="AJ38" s="69"/>
      <c r="AK38" s="69"/>
      <c r="AL38" s="69"/>
      <c r="AM38" s="69"/>
      <c r="AN38" s="69"/>
      <c r="AO38" s="69"/>
      <c r="AP38" s="69"/>
      <c r="AQ38" s="69"/>
      <c r="AR38" s="69"/>
      <c r="AS38" s="69"/>
      <c r="AT38" s="69"/>
      <c r="AU38" s="69"/>
      <c r="AV38" s="69"/>
      <c r="AW38" s="69"/>
      <c r="AX38" s="69"/>
      <c r="AY38" s="69"/>
      <c r="AZ38" s="69"/>
      <c r="BA38" s="69"/>
    </row>
    <row r="39" customFormat="false" ht="15" hidden="false" customHeight="false" outlineLevel="0" collapsed="false">
      <c r="B39" s="69"/>
      <c r="C39" s="69"/>
      <c r="D39" s="69"/>
      <c r="E39" s="69"/>
      <c r="F39" s="69"/>
      <c r="G39" s="69"/>
      <c r="H39" s="69"/>
      <c r="I39" s="69"/>
      <c r="J39" s="69"/>
      <c r="K39" s="69"/>
      <c r="L39" s="69"/>
      <c r="M39" s="69"/>
      <c r="N39" s="69"/>
      <c r="O39" s="69"/>
      <c r="P39" s="69"/>
      <c r="Q39" s="69"/>
      <c r="R39" s="69"/>
      <c r="S39" s="69"/>
      <c r="T39" s="69"/>
      <c r="U39" s="69"/>
      <c r="V39" s="69"/>
      <c r="W39" s="69"/>
      <c r="X39" s="69"/>
      <c r="Y39" s="69"/>
      <c r="Z39" s="69"/>
      <c r="AA39" s="69"/>
      <c r="AB39" s="69"/>
      <c r="AC39" s="69"/>
      <c r="AD39" s="69"/>
      <c r="AE39" s="69"/>
      <c r="AF39" s="69"/>
      <c r="AG39" s="69"/>
      <c r="AH39" s="69"/>
      <c r="AI39" s="69"/>
      <c r="AJ39" s="69"/>
      <c r="AK39" s="69"/>
      <c r="AL39" s="69"/>
      <c r="AM39" s="69"/>
      <c r="AN39" s="69"/>
      <c r="AO39" s="69"/>
      <c r="AP39" s="69"/>
      <c r="AQ39" s="69"/>
      <c r="AR39" s="69"/>
      <c r="AS39" s="69"/>
      <c r="AT39" s="69"/>
      <c r="AU39" s="69"/>
      <c r="AV39" s="69"/>
      <c r="AW39" s="69"/>
      <c r="AX39" s="69"/>
      <c r="AY39" s="69"/>
      <c r="AZ39" s="69"/>
      <c r="BA39" s="69"/>
    </row>
    <row r="40" customFormat="false" ht="15" hidden="false" customHeight="false" outlineLevel="0" collapsed="false">
      <c r="B40" s="69"/>
      <c r="C40" s="69"/>
      <c r="D40" s="69"/>
      <c r="E40" s="69"/>
      <c r="F40" s="69"/>
      <c r="G40" s="69"/>
      <c r="H40" s="69"/>
      <c r="I40" s="69"/>
      <c r="J40" s="69"/>
      <c r="K40" s="69"/>
      <c r="L40" s="69"/>
      <c r="M40" s="69"/>
      <c r="N40" s="69"/>
      <c r="O40" s="69"/>
      <c r="P40" s="69"/>
      <c r="Q40" s="69"/>
      <c r="R40" s="69"/>
      <c r="S40" s="69"/>
      <c r="T40" s="69"/>
      <c r="U40" s="69"/>
      <c r="V40" s="69"/>
      <c r="W40" s="69"/>
      <c r="X40" s="69"/>
      <c r="Y40" s="69"/>
      <c r="Z40" s="69"/>
      <c r="AA40" s="69"/>
      <c r="AB40" s="69"/>
      <c r="AC40" s="69"/>
      <c r="AD40" s="69"/>
      <c r="AE40" s="69"/>
      <c r="AF40" s="69"/>
      <c r="AG40" s="69"/>
      <c r="AH40" s="69"/>
      <c r="AI40" s="69"/>
      <c r="AJ40" s="69"/>
      <c r="AK40" s="69"/>
      <c r="AL40" s="69"/>
      <c r="AM40" s="69"/>
      <c r="AN40" s="69"/>
      <c r="AO40" s="69"/>
      <c r="AP40" s="69"/>
      <c r="AQ40" s="69"/>
      <c r="AR40" s="69"/>
      <c r="AS40" s="69"/>
      <c r="AT40" s="69"/>
      <c r="AU40" s="69"/>
      <c r="AV40" s="69"/>
      <c r="AW40" s="69"/>
      <c r="AX40" s="69"/>
      <c r="AY40" s="69"/>
      <c r="AZ40" s="69"/>
      <c r="BA40" s="69"/>
    </row>
    <row r="41" customFormat="false" ht="15" hidden="false" customHeight="false" outlineLevel="0" collapsed="false">
      <c r="B41" s="69"/>
      <c r="C41" s="69"/>
      <c r="D41" s="69"/>
      <c r="E41" s="69"/>
      <c r="F41" s="69"/>
      <c r="G41" s="69"/>
      <c r="H41" s="69"/>
      <c r="I41" s="69"/>
      <c r="J41" s="69"/>
      <c r="K41" s="69"/>
      <c r="L41" s="69"/>
      <c r="M41" s="69"/>
      <c r="N41" s="69"/>
      <c r="O41" s="69"/>
      <c r="P41" s="69"/>
      <c r="Q41" s="69"/>
      <c r="R41" s="69"/>
      <c r="S41" s="69"/>
      <c r="T41" s="69"/>
      <c r="U41" s="69"/>
      <c r="V41" s="69"/>
      <c r="W41" s="69"/>
      <c r="X41" s="69"/>
      <c r="Y41" s="69"/>
      <c r="Z41" s="69"/>
      <c r="AA41" s="69"/>
      <c r="AB41" s="69"/>
      <c r="AC41" s="69"/>
      <c r="AD41" s="69"/>
      <c r="AE41" s="69"/>
      <c r="AF41" s="69"/>
      <c r="AG41" s="69"/>
      <c r="AH41" s="69"/>
      <c r="AI41" s="69"/>
      <c r="AJ41" s="69"/>
      <c r="AK41" s="69"/>
      <c r="AL41" s="69"/>
      <c r="AM41" s="69"/>
      <c r="AN41" s="69"/>
      <c r="AO41" s="69"/>
      <c r="AP41" s="69"/>
      <c r="AQ41" s="69"/>
      <c r="AR41" s="69"/>
      <c r="AS41" s="69"/>
      <c r="AT41" s="69"/>
      <c r="AU41" s="69"/>
      <c r="AV41" s="69"/>
      <c r="AW41" s="69"/>
      <c r="AX41" s="69"/>
      <c r="AY41" s="69"/>
      <c r="AZ41" s="69"/>
      <c r="BA41" s="69"/>
    </row>
    <row r="42" customFormat="false" ht="15" hidden="false" customHeight="false" outlineLevel="0" collapsed="false">
      <c r="B42" s="69"/>
      <c r="C42" s="69"/>
      <c r="D42" s="69"/>
      <c r="E42" s="69"/>
      <c r="F42" s="69"/>
      <c r="G42" s="69"/>
      <c r="H42" s="69"/>
      <c r="I42" s="69"/>
      <c r="J42" s="69"/>
      <c r="K42" s="69"/>
      <c r="L42" s="69"/>
      <c r="M42" s="69"/>
      <c r="N42" s="69"/>
      <c r="O42" s="69"/>
      <c r="P42" s="69"/>
      <c r="Q42" s="69"/>
      <c r="R42" s="69"/>
      <c r="S42" s="69"/>
      <c r="T42" s="69"/>
      <c r="U42" s="69"/>
      <c r="V42" s="69"/>
      <c r="W42" s="69"/>
      <c r="X42" s="69"/>
      <c r="Y42" s="69"/>
      <c r="Z42" s="69"/>
      <c r="AA42" s="69"/>
      <c r="AB42" s="69"/>
      <c r="AC42" s="69"/>
      <c r="AD42" s="69"/>
      <c r="AE42" s="69"/>
      <c r="AF42" s="69"/>
      <c r="AG42" s="69"/>
      <c r="AH42" s="69"/>
      <c r="AI42" s="69"/>
      <c r="AJ42" s="69"/>
      <c r="AK42" s="69"/>
      <c r="AL42" s="69"/>
      <c r="AM42" s="69"/>
      <c r="AN42" s="69"/>
      <c r="AO42" s="69"/>
      <c r="AP42" s="69"/>
      <c r="AQ42" s="69"/>
      <c r="AR42" s="69"/>
      <c r="AS42" s="69"/>
      <c r="AT42" s="69"/>
      <c r="AU42" s="69"/>
      <c r="AV42" s="69"/>
      <c r="AW42" s="69"/>
      <c r="AX42" s="69"/>
      <c r="AY42" s="69"/>
      <c r="AZ42" s="69"/>
      <c r="BA42" s="69"/>
    </row>
    <row r="43" customFormat="false" ht="15" hidden="false" customHeight="false" outlineLevel="0" collapsed="false">
      <c r="B43" s="69"/>
      <c r="C43" s="69"/>
      <c r="D43" s="69"/>
      <c r="E43" s="69"/>
      <c r="F43" s="69"/>
      <c r="G43" s="69"/>
      <c r="H43" s="69"/>
      <c r="I43" s="69"/>
      <c r="J43" s="69"/>
      <c r="K43" s="69"/>
      <c r="L43" s="69"/>
      <c r="M43" s="69"/>
      <c r="N43" s="69"/>
      <c r="O43" s="69"/>
      <c r="P43" s="69"/>
      <c r="Q43" s="69"/>
      <c r="R43" s="69"/>
      <c r="S43" s="69"/>
      <c r="T43" s="69"/>
      <c r="U43" s="69"/>
      <c r="V43" s="69"/>
      <c r="W43" s="69"/>
      <c r="X43" s="69"/>
      <c r="Y43" s="69"/>
      <c r="Z43" s="69"/>
      <c r="AA43" s="69"/>
      <c r="AB43" s="69"/>
      <c r="AC43" s="69"/>
      <c r="AD43" s="69"/>
      <c r="AE43" s="69"/>
      <c r="AF43" s="69"/>
      <c r="AG43" s="69"/>
      <c r="AH43" s="69"/>
      <c r="AI43" s="69"/>
      <c r="AJ43" s="69"/>
      <c r="AK43" s="69"/>
      <c r="AL43" s="69"/>
      <c r="AM43" s="69"/>
      <c r="AN43" s="69"/>
      <c r="AO43" s="69"/>
      <c r="AP43" s="69"/>
      <c r="AQ43" s="69"/>
      <c r="AR43" s="69"/>
      <c r="AS43" s="69"/>
      <c r="AT43" s="69"/>
      <c r="AU43" s="69"/>
      <c r="AV43" s="69"/>
      <c r="AW43" s="69"/>
      <c r="AX43" s="69"/>
      <c r="AY43" s="69"/>
      <c r="AZ43" s="69"/>
      <c r="BA43" s="69"/>
    </row>
    <row r="44" customFormat="false" ht="15" hidden="false" customHeight="false" outlineLevel="0" collapsed="false">
      <c r="B44" s="69"/>
      <c r="C44" s="69"/>
      <c r="D44" s="69"/>
      <c r="E44" s="69"/>
      <c r="F44" s="69"/>
      <c r="G44" s="69"/>
      <c r="H44" s="69"/>
      <c r="I44" s="69"/>
      <c r="J44" s="69"/>
      <c r="K44" s="69"/>
      <c r="L44" s="69"/>
      <c r="M44" s="69"/>
      <c r="N44" s="69"/>
      <c r="O44" s="69"/>
      <c r="P44" s="69"/>
      <c r="Q44" s="69"/>
      <c r="R44" s="69"/>
      <c r="S44" s="69"/>
      <c r="T44" s="69"/>
      <c r="U44" s="69"/>
      <c r="V44" s="69"/>
      <c r="W44" s="69"/>
      <c r="X44" s="69"/>
      <c r="Y44" s="69"/>
      <c r="Z44" s="69"/>
      <c r="AA44" s="69"/>
      <c r="AB44" s="69"/>
      <c r="AC44" s="69"/>
      <c r="AD44" s="69"/>
      <c r="AE44" s="69"/>
      <c r="AF44" s="69"/>
      <c r="AG44" s="69"/>
      <c r="AH44" s="69"/>
      <c r="AI44" s="69"/>
      <c r="AJ44" s="69"/>
      <c r="AK44" s="69"/>
      <c r="AL44" s="69"/>
      <c r="AM44" s="69"/>
      <c r="AN44" s="69"/>
      <c r="AO44" s="69"/>
      <c r="AP44" s="69"/>
      <c r="AQ44" s="69"/>
      <c r="AR44" s="69"/>
      <c r="AS44" s="69"/>
      <c r="AT44" s="69"/>
      <c r="AU44" s="69"/>
      <c r="AV44" s="69"/>
      <c r="AW44" s="69"/>
      <c r="AX44" s="69"/>
      <c r="AY44" s="69"/>
      <c r="AZ44" s="69"/>
      <c r="BA44" s="69"/>
    </row>
    <row r="45" customFormat="false" ht="15" hidden="false" customHeight="false" outlineLevel="0" collapsed="false">
      <c r="B45" s="69"/>
      <c r="C45" s="69"/>
      <c r="D45" s="69"/>
      <c r="E45" s="69"/>
      <c r="F45" s="69"/>
      <c r="G45" s="69"/>
      <c r="H45" s="69"/>
      <c r="I45" s="69"/>
      <c r="J45" s="69"/>
      <c r="K45" s="69"/>
      <c r="L45" s="69"/>
      <c r="M45" s="69"/>
      <c r="N45" s="69"/>
      <c r="O45" s="69"/>
      <c r="P45" s="69"/>
      <c r="Q45" s="69"/>
      <c r="R45" s="69"/>
      <c r="S45" s="69"/>
      <c r="T45" s="69"/>
      <c r="U45" s="69"/>
      <c r="V45" s="69"/>
      <c r="W45" s="69"/>
      <c r="X45" s="69"/>
      <c r="Y45" s="69"/>
      <c r="Z45" s="69"/>
      <c r="AA45" s="69"/>
      <c r="AB45" s="69"/>
      <c r="AC45" s="69"/>
      <c r="AD45" s="69"/>
      <c r="AE45" s="69"/>
      <c r="AF45" s="69"/>
      <c r="AG45" s="69"/>
      <c r="AH45" s="69"/>
      <c r="AI45" s="69"/>
      <c r="AJ45" s="69"/>
      <c r="AK45" s="69"/>
      <c r="AL45" s="69"/>
      <c r="AM45" s="69"/>
      <c r="AN45" s="69"/>
      <c r="AO45" s="69"/>
      <c r="AP45" s="69"/>
      <c r="AQ45" s="69"/>
      <c r="AR45" s="69"/>
      <c r="AS45" s="69"/>
      <c r="AT45" s="69"/>
      <c r="AU45" s="69"/>
      <c r="AV45" s="69"/>
      <c r="AW45" s="69"/>
      <c r="AX45" s="69"/>
      <c r="AY45" s="69"/>
      <c r="AZ45" s="69"/>
      <c r="BA45" s="69"/>
    </row>
    <row r="46" customFormat="false" ht="15" hidden="false" customHeight="false" outlineLevel="0" collapsed="false">
      <c r="B46" s="69"/>
      <c r="C46" s="69"/>
      <c r="D46" s="69"/>
      <c r="E46" s="69"/>
      <c r="F46" s="69"/>
      <c r="G46" s="69"/>
      <c r="H46" s="69"/>
      <c r="I46" s="69"/>
      <c r="J46" s="69"/>
      <c r="K46" s="69"/>
      <c r="L46" s="69"/>
      <c r="M46" s="69"/>
      <c r="N46" s="69"/>
      <c r="O46" s="69"/>
      <c r="P46" s="69"/>
      <c r="Q46" s="69"/>
      <c r="R46" s="69"/>
      <c r="S46" s="69"/>
      <c r="T46" s="69"/>
      <c r="U46" s="69"/>
      <c r="V46" s="69"/>
      <c r="W46" s="69"/>
      <c r="X46" s="69"/>
      <c r="Y46" s="69"/>
      <c r="Z46" s="69"/>
      <c r="AA46" s="69"/>
      <c r="AB46" s="69"/>
      <c r="AC46" s="69"/>
      <c r="AD46" s="69"/>
      <c r="AE46" s="69"/>
      <c r="AF46" s="69"/>
      <c r="AG46" s="69"/>
      <c r="AH46" s="69"/>
      <c r="AI46" s="69"/>
      <c r="AJ46" s="69"/>
      <c r="AK46" s="69"/>
      <c r="AL46" s="69"/>
      <c r="AM46" s="69"/>
      <c r="AN46" s="69"/>
      <c r="AO46" s="69"/>
      <c r="AP46" s="69"/>
      <c r="AQ46" s="69"/>
      <c r="AR46" s="69"/>
      <c r="AS46" s="69"/>
      <c r="AT46" s="69"/>
      <c r="AU46" s="69"/>
      <c r="AV46" s="69"/>
      <c r="AW46" s="69"/>
      <c r="AX46" s="69"/>
      <c r="AY46" s="69"/>
      <c r="AZ46" s="69"/>
      <c r="BA46" s="69"/>
    </row>
    <row r="47" customFormat="false" ht="15" hidden="false" customHeight="false" outlineLevel="0" collapsed="false">
      <c r="B47" s="69"/>
      <c r="C47" s="69"/>
      <c r="D47" s="69"/>
      <c r="E47" s="69"/>
      <c r="F47" s="69"/>
      <c r="G47" s="69"/>
      <c r="H47" s="69"/>
      <c r="I47" s="69"/>
      <c r="J47" s="69"/>
      <c r="K47" s="69"/>
      <c r="L47" s="69"/>
      <c r="M47" s="69"/>
      <c r="N47" s="69"/>
      <c r="O47" s="69"/>
      <c r="P47" s="69"/>
      <c r="Q47" s="69"/>
      <c r="R47" s="69"/>
      <c r="S47" s="69"/>
      <c r="T47" s="69"/>
      <c r="U47" s="69"/>
      <c r="V47" s="69"/>
      <c r="W47" s="69"/>
      <c r="X47" s="69"/>
      <c r="Y47" s="69"/>
      <c r="Z47" s="69"/>
      <c r="AA47" s="69"/>
      <c r="AB47" s="69"/>
      <c r="AC47" s="69"/>
      <c r="AD47" s="69"/>
      <c r="AE47" s="69"/>
      <c r="AF47" s="69"/>
      <c r="AG47" s="69"/>
      <c r="AH47" s="69"/>
      <c r="AI47" s="69"/>
      <c r="AJ47" s="69"/>
      <c r="AK47" s="69"/>
      <c r="AL47" s="69"/>
      <c r="AM47" s="69"/>
      <c r="AN47" s="69"/>
      <c r="AO47" s="69"/>
      <c r="AP47" s="69"/>
      <c r="AQ47" s="69"/>
      <c r="AR47" s="69"/>
      <c r="AS47" s="69"/>
      <c r="AT47" s="69"/>
      <c r="AU47" s="69"/>
      <c r="AV47" s="69"/>
      <c r="AW47" s="69"/>
      <c r="AX47" s="69"/>
      <c r="AY47" s="69"/>
      <c r="AZ47" s="69"/>
      <c r="BA47" s="69"/>
    </row>
    <row r="48" customFormat="false" ht="15" hidden="false" customHeight="false" outlineLevel="0" collapsed="false">
      <c r="B48" s="69"/>
      <c r="C48" s="69"/>
      <c r="D48" s="69"/>
      <c r="E48" s="69"/>
      <c r="F48" s="69"/>
      <c r="G48" s="69"/>
      <c r="H48" s="69"/>
      <c r="I48" s="69"/>
      <c r="J48" s="69"/>
      <c r="K48" s="69"/>
      <c r="L48" s="69"/>
      <c r="M48" s="69"/>
      <c r="N48" s="69"/>
      <c r="O48" s="69"/>
      <c r="P48" s="69"/>
      <c r="Q48" s="69"/>
      <c r="R48" s="69"/>
      <c r="S48" s="69"/>
      <c r="T48" s="69"/>
      <c r="U48" s="69"/>
      <c r="V48" s="69"/>
      <c r="W48" s="69"/>
      <c r="X48" s="69"/>
      <c r="Y48" s="69"/>
      <c r="Z48" s="69"/>
      <c r="AA48" s="69"/>
      <c r="AB48" s="69"/>
      <c r="AC48" s="69"/>
      <c r="AD48" s="69"/>
      <c r="AE48" s="69"/>
      <c r="AF48" s="69"/>
      <c r="AG48" s="69"/>
      <c r="AH48" s="69"/>
      <c r="AI48" s="69"/>
      <c r="AJ48" s="69"/>
      <c r="AK48" s="69"/>
      <c r="AL48" s="69"/>
      <c r="AM48" s="69"/>
      <c r="AN48" s="69"/>
      <c r="AO48" s="69"/>
      <c r="AP48" s="69"/>
      <c r="AQ48" s="69"/>
      <c r="AR48" s="69"/>
      <c r="AS48" s="69"/>
      <c r="AT48" s="69"/>
      <c r="AU48" s="69"/>
      <c r="AV48" s="69"/>
      <c r="AW48" s="69"/>
      <c r="AX48" s="69"/>
      <c r="AY48" s="69"/>
      <c r="AZ48" s="69"/>
      <c r="BA48" s="69"/>
    </row>
    <row r="49" customFormat="false" ht="15" hidden="false" customHeight="false" outlineLevel="0" collapsed="false">
      <c r="B49" s="69"/>
      <c r="C49" s="69"/>
      <c r="D49" s="69"/>
      <c r="E49" s="69"/>
      <c r="F49" s="69"/>
      <c r="G49" s="69"/>
      <c r="H49" s="69"/>
      <c r="I49" s="69"/>
      <c r="J49" s="69"/>
      <c r="K49" s="69"/>
      <c r="L49" s="69"/>
      <c r="M49" s="69"/>
      <c r="N49" s="69"/>
      <c r="O49" s="69"/>
      <c r="P49" s="69"/>
      <c r="Q49" s="69"/>
      <c r="R49" s="69"/>
      <c r="S49" s="69"/>
      <c r="T49" s="69"/>
      <c r="U49" s="69"/>
      <c r="V49" s="69"/>
      <c r="W49" s="69"/>
      <c r="X49" s="69"/>
      <c r="Y49" s="69"/>
      <c r="Z49" s="69"/>
      <c r="AA49" s="69"/>
      <c r="AB49" s="69"/>
      <c r="AC49" s="69"/>
      <c r="AD49" s="69"/>
      <c r="AE49" s="69"/>
      <c r="AF49" s="69"/>
      <c r="AG49" s="69"/>
      <c r="AH49" s="69"/>
      <c r="AI49" s="69"/>
      <c r="AJ49" s="69"/>
      <c r="AK49" s="69"/>
      <c r="AL49" s="69"/>
      <c r="AM49" s="69"/>
      <c r="AN49" s="69"/>
      <c r="AO49" s="69"/>
      <c r="AP49" s="69"/>
      <c r="AQ49" s="69"/>
      <c r="AR49" s="69"/>
      <c r="AS49" s="69"/>
      <c r="AT49" s="69"/>
      <c r="AU49" s="69"/>
      <c r="AV49" s="69"/>
      <c r="AW49" s="69"/>
      <c r="AX49" s="69"/>
      <c r="AY49" s="69"/>
      <c r="AZ49" s="69"/>
      <c r="BA49" s="69"/>
    </row>
    <row r="50" customFormat="false" ht="15" hidden="false" customHeight="false" outlineLevel="0" collapsed="false">
      <c r="B50" s="69"/>
      <c r="C50" s="69"/>
      <c r="D50" s="69"/>
      <c r="E50" s="69"/>
      <c r="F50" s="69"/>
      <c r="G50" s="69"/>
      <c r="H50" s="69"/>
      <c r="I50" s="69"/>
      <c r="J50" s="69"/>
      <c r="K50" s="69"/>
      <c r="L50" s="69"/>
      <c r="M50" s="69"/>
      <c r="N50" s="69"/>
      <c r="O50" s="69"/>
      <c r="P50" s="69"/>
      <c r="Q50" s="69"/>
      <c r="R50" s="69"/>
      <c r="S50" s="69"/>
      <c r="T50" s="69"/>
      <c r="U50" s="69"/>
      <c r="V50" s="69"/>
      <c r="W50" s="69"/>
      <c r="X50" s="69"/>
      <c r="Y50" s="69"/>
      <c r="Z50" s="69"/>
      <c r="AA50" s="69"/>
      <c r="AB50" s="69"/>
      <c r="AC50" s="69"/>
      <c r="AD50" s="69"/>
      <c r="AE50" s="69"/>
      <c r="AF50" s="69"/>
      <c r="AG50" s="69"/>
      <c r="AH50" s="69"/>
      <c r="AI50" s="69"/>
      <c r="AJ50" s="69"/>
      <c r="AK50" s="69"/>
      <c r="AL50" s="69"/>
      <c r="AM50" s="69"/>
      <c r="AN50" s="69"/>
      <c r="AO50" s="69"/>
      <c r="AP50" s="69"/>
      <c r="AQ50" s="69"/>
      <c r="AR50" s="69"/>
      <c r="AS50" s="69"/>
      <c r="AT50" s="69"/>
      <c r="AU50" s="69"/>
      <c r="AV50" s="69"/>
      <c r="AW50" s="69"/>
      <c r="AX50" s="69"/>
      <c r="AY50" s="69"/>
      <c r="AZ50" s="69"/>
      <c r="BA50" s="69"/>
    </row>
    <row r="51" customFormat="false" ht="15" hidden="false" customHeight="false" outlineLevel="0" collapsed="false">
      <c r="B51" s="69"/>
      <c r="C51" s="69"/>
      <c r="D51" s="69"/>
      <c r="E51" s="69"/>
      <c r="F51" s="69"/>
      <c r="G51" s="69"/>
      <c r="H51" s="69"/>
      <c r="I51" s="69"/>
      <c r="J51" s="69"/>
      <c r="K51" s="69"/>
      <c r="L51" s="69"/>
      <c r="M51" s="69"/>
      <c r="N51" s="69"/>
      <c r="O51" s="69"/>
      <c r="P51" s="69"/>
      <c r="Q51" s="69"/>
      <c r="R51" s="69"/>
      <c r="S51" s="69"/>
      <c r="T51" s="69"/>
      <c r="U51" s="69"/>
      <c r="V51" s="69"/>
      <c r="W51" s="69"/>
      <c r="X51" s="69"/>
      <c r="Y51" s="69"/>
      <c r="Z51" s="69"/>
      <c r="AA51" s="69"/>
      <c r="AB51" s="69"/>
      <c r="AC51" s="69"/>
      <c r="AD51" s="69"/>
      <c r="AE51" s="69"/>
      <c r="AF51" s="69"/>
      <c r="AG51" s="69"/>
      <c r="AH51" s="69"/>
      <c r="AI51" s="69"/>
      <c r="AJ51" s="69"/>
      <c r="AK51" s="69"/>
      <c r="AL51" s="69"/>
      <c r="AM51" s="69"/>
      <c r="AN51" s="69"/>
      <c r="AO51" s="69"/>
      <c r="AP51" s="69"/>
      <c r="AQ51" s="69"/>
      <c r="AR51" s="69"/>
      <c r="AS51" s="69"/>
      <c r="AT51" s="69"/>
      <c r="AU51" s="69"/>
      <c r="AV51" s="69"/>
      <c r="AW51" s="69"/>
      <c r="AX51" s="69"/>
      <c r="AY51" s="69"/>
      <c r="AZ51" s="69"/>
      <c r="BA51" s="69"/>
    </row>
    <row r="52" customFormat="false" ht="15" hidden="false" customHeight="false" outlineLevel="0" collapsed="false">
      <c r="B52" s="69"/>
      <c r="C52" s="69"/>
      <c r="D52" s="69"/>
      <c r="E52" s="69"/>
      <c r="F52" s="69"/>
      <c r="G52" s="69"/>
      <c r="H52" s="69"/>
      <c r="I52" s="69"/>
      <c r="J52" s="69"/>
      <c r="K52" s="69"/>
      <c r="L52" s="69"/>
      <c r="M52" s="69"/>
      <c r="N52" s="69"/>
      <c r="O52" s="69"/>
      <c r="P52" s="69"/>
      <c r="Q52" s="69"/>
      <c r="R52" s="69"/>
      <c r="S52" s="69"/>
      <c r="T52" s="69"/>
      <c r="U52" s="69"/>
      <c r="V52" s="69"/>
      <c r="W52" s="69"/>
      <c r="X52" s="69"/>
      <c r="Y52" s="69"/>
      <c r="Z52" s="69"/>
      <c r="AA52" s="69"/>
      <c r="AB52" s="69"/>
      <c r="AC52" s="69"/>
      <c r="AD52" s="69"/>
      <c r="AE52" s="69"/>
      <c r="AF52" s="69"/>
      <c r="AG52" s="69"/>
      <c r="AH52" s="69"/>
      <c r="AI52" s="69"/>
      <c r="AJ52" s="69"/>
      <c r="AK52" s="69"/>
      <c r="AL52" s="69"/>
      <c r="AM52" s="69"/>
      <c r="AN52" s="69"/>
      <c r="AO52" s="69"/>
      <c r="AP52" s="69"/>
      <c r="AQ52" s="69"/>
      <c r="AR52" s="69"/>
      <c r="AS52" s="69"/>
      <c r="AT52" s="69"/>
      <c r="AU52" s="69"/>
      <c r="AV52" s="69"/>
      <c r="AW52" s="69"/>
      <c r="AX52" s="69"/>
      <c r="AY52" s="69"/>
      <c r="AZ52" s="69"/>
      <c r="BA52" s="69"/>
    </row>
    <row r="53" customFormat="false" ht="15" hidden="false" customHeight="false" outlineLevel="0" collapsed="false">
      <c r="B53" s="69"/>
      <c r="C53" s="69"/>
      <c r="D53" s="69"/>
      <c r="E53" s="69"/>
      <c r="F53" s="69"/>
      <c r="G53" s="69"/>
      <c r="H53" s="69"/>
      <c r="I53" s="69"/>
      <c r="J53" s="69"/>
      <c r="K53" s="69"/>
      <c r="L53" s="69"/>
      <c r="M53" s="69"/>
      <c r="N53" s="69"/>
      <c r="O53" s="69"/>
      <c r="P53" s="69"/>
      <c r="Q53" s="69"/>
      <c r="R53" s="69"/>
      <c r="S53" s="69"/>
      <c r="T53" s="69"/>
      <c r="U53" s="69"/>
      <c r="V53" s="69"/>
      <c r="W53" s="69"/>
      <c r="X53" s="69"/>
      <c r="Y53" s="69"/>
      <c r="Z53" s="69"/>
      <c r="AA53" s="69"/>
      <c r="AB53" s="69"/>
      <c r="AC53" s="69"/>
      <c r="AD53" s="69"/>
      <c r="AE53" s="69"/>
      <c r="AF53" s="69"/>
      <c r="AG53" s="69"/>
      <c r="AH53" s="69"/>
      <c r="AI53" s="69"/>
      <c r="AJ53" s="69"/>
      <c r="AK53" s="69"/>
      <c r="AL53" s="69"/>
      <c r="AM53" s="69"/>
      <c r="AN53" s="69"/>
      <c r="AO53" s="69"/>
      <c r="AP53" s="69"/>
      <c r="AQ53" s="69"/>
      <c r="AR53" s="69"/>
      <c r="AS53" s="69"/>
      <c r="AT53" s="69"/>
      <c r="AU53" s="69"/>
      <c r="AV53" s="69"/>
      <c r="AW53" s="69"/>
      <c r="AX53" s="69"/>
      <c r="AY53" s="69"/>
      <c r="AZ53" s="69"/>
      <c r="BA53" s="69"/>
    </row>
    <row r="54" customFormat="false" ht="15" hidden="false" customHeight="false" outlineLevel="0" collapsed="false">
      <c r="B54" s="69"/>
      <c r="C54" s="69"/>
      <c r="D54" s="69"/>
      <c r="E54" s="69"/>
      <c r="F54" s="69"/>
      <c r="G54" s="69"/>
      <c r="H54" s="69"/>
      <c r="I54" s="69"/>
      <c r="J54" s="69"/>
      <c r="K54" s="69"/>
      <c r="L54" s="69"/>
      <c r="M54" s="69"/>
      <c r="N54" s="69"/>
      <c r="O54" s="69"/>
      <c r="P54" s="69"/>
      <c r="Q54" s="69"/>
      <c r="R54" s="69"/>
      <c r="S54" s="69"/>
      <c r="T54" s="69"/>
      <c r="U54" s="69"/>
      <c r="V54" s="69"/>
      <c r="W54" s="69"/>
      <c r="X54" s="69"/>
      <c r="Y54" s="69"/>
      <c r="Z54" s="69"/>
      <c r="AA54" s="69"/>
      <c r="AB54" s="69"/>
      <c r="AC54" s="69"/>
      <c r="AD54" s="69"/>
      <c r="AE54" s="69"/>
      <c r="AF54" s="69"/>
      <c r="AG54" s="69"/>
      <c r="AH54" s="69"/>
      <c r="AI54" s="69"/>
      <c r="AJ54" s="69"/>
      <c r="AK54" s="69"/>
      <c r="AL54" s="69"/>
      <c r="AM54" s="69"/>
      <c r="AN54" s="69"/>
      <c r="AO54" s="69"/>
      <c r="AP54" s="69"/>
      <c r="AQ54" s="69"/>
      <c r="AR54" s="69"/>
      <c r="AS54" s="69"/>
      <c r="AT54" s="69"/>
      <c r="AU54" s="69"/>
      <c r="AV54" s="69"/>
      <c r="AW54" s="69"/>
      <c r="AX54" s="69"/>
      <c r="AY54" s="69"/>
      <c r="AZ54" s="69"/>
      <c r="BA54" s="69"/>
    </row>
    <row r="55" customFormat="false" ht="15" hidden="false" customHeight="false" outlineLevel="0" collapsed="false">
      <c r="B55" s="69"/>
      <c r="C55" s="69"/>
      <c r="D55" s="69"/>
      <c r="E55" s="69"/>
      <c r="F55" s="69"/>
      <c r="G55" s="69"/>
      <c r="H55" s="69"/>
      <c r="I55" s="69"/>
      <c r="J55" s="69"/>
      <c r="K55" s="69"/>
      <c r="L55" s="69"/>
      <c r="M55" s="69"/>
      <c r="N55" s="69"/>
      <c r="O55" s="69"/>
      <c r="P55" s="69"/>
      <c r="Q55" s="69"/>
      <c r="R55" s="69"/>
      <c r="S55" s="69"/>
      <c r="T55" s="69"/>
      <c r="U55" s="69"/>
      <c r="V55" s="69"/>
      <c r="W55" s="69"/>
      <c r="X55" s="69"/>
      <c r="Y55" s="69"/>
      <c r="Z55" s="69"/>
      <c r="AA55" s="69"/>
      <c r="AB55" s="69"/>
      <c r="AC55" s="69"/>
      <c r="AD55" s="69"/>
      <c r="AE55" s="69"/>
      <c r="AF55" s="69"/>
      <c r="AG55" s="69"/>
      <c r="AH55" s="69"/>
      <c r="AI55" s="69"/>
      <c r="AJ55" s="69"/>
      <c r="AK55" s="69"/>
      <c r="AL55" s="69"/>
      <c r="AM55" s="69"/>
      <c r="AN55" s="69"/>
      <c r="AO55" s="69"/>
      <c r="AP55" s="69"/>
      <c r="AQ55" s="69"/>
      <c r="AR55" s="69"/>
      <c r="AS55" s="69"/>
      <c r="AT55" s="69"/>
      <c r="AU55" s="69"/>
      <c r="AV55" s="69"/>
      <c r="AW55" s="69"/>
      <c r="AX55" s="69"/>
      <c r="AY55" s="69"/>
      <c r="AZ55" s="69"/>
      <c r="BA55" s="69"/>
    </row>
    <row r="56" customFormat="false" ht="15" hidden="false" customHeight="false" outlineLevel="0" collapsed="false">
      <c r="B56" s="69"/>
      <c r="C56" s="69"/>
      <c r="D56" s="69"/>
      <c r="E56" s="69"/>
      <c r="F56" s="69"/>
      <c r="G56" s="69"/>
      <c r="H56" s="69"/>
      <c r="I56" s="69"/>
      <c r="J56" s="69"/>
      <c r="K56" s="69"/>
      <c r="L56" s="69"/>
      <c r="M56" s="69"/>
      <c r="N56" s="69"/>
      <c r="O56" s="69"/>
      <c r="P56" s="69"/>
      <c r="Q56" s="69"/>
      <c r="R56" s="69"/>
      <c r="S56" s="69"/>
      <c r="T56" s="69"/>
      <c r="U56" s="69"/>
      <c r="V56" s="69"/>
      <c r="W56" s="69"/>
      <c r="X56" s="69"/>
      <c r="Y56" s="69"/>
      <c r="Z56" s="69"/>
      <c r="AA56" s="69"/>
      <c r="AB56" s="69"/>
      <c r="AC56" s="69"/>
      <c r="AD56" s="69"/>
      <c r="AE56" s="69"/>
      <c r="AF56" s="69"/>
      <c r="AG56" s="69"/>
      <c r="AH56" s="69"/>
      <c r="AI56" s="69"/>
      <c r="AJ56" s="69"/>
      <c r="AK56" s="69"/>
      <c r="AL56" s="69"/>
      <c r="AM56" s="69"/>
      <c r="AN56" s="69"/>
      <c r="AO56" s="69"/>
      <c r="AP56" s="69"/>
      <c r="AQ56" s="69"/>
      <c r="AR56" s="69"/>
      <c r="AS56" s="69"/>
      <c r="AT56" s="69"/>
      <c r="AU56" s="69"/>
      <c r="AV56" s="69"/>
      <c r="AW56" s="69"/>
      <c r="AX56" s="69"/>
      <c r="AY56" s="69"/>
      <c r="AZ56" s="69"/>
      <c r="BA56" s="69"/>
    </row>
    <row r="57" customFormat="false" ht="15" hidden="false" customHeight="false" outlineLevel="0" collapsed="false">
      <c r="B57" s="69"/>
      <c r="C57" s="69"/>
      <c r="D57" s="69"/>
      <c r="E57" s="69"/>
      <c r="F57" s="69"/>
      <c r="G57" s="69"/>
      <c r="H57" s="69"/>
      <c r="I57" s="69"/>
      <c r="J57" s="69"/>
      <c r="K57" s="69"/>
      <c r="L57" s="69"/>
      <c r="M57" s="69"/>
      <c r="N57" s="69"/>
      <c r="O57" s="69"/>
      <c r="P57" s="69"/>
      <c r="Q57" s="69"/>
      <c r="R57" s="69"/>
      <c r="S57" s="69"/>
      <c r="T57" s="69"/>
      <c r="U57" s="69"/>
      <c r="V57" s="69"/>
      <c r="W57" s="69"/>
      <c r="X57" s="69"/>
      <c r="Y57" s="69"/>
      <c r="Z57" s="69"/>
      <c r="AA57" s="69"/>
      <c r="AB57" s="69"/>
      <c r="AC57" s="69"/>
      <c r="AD57" s="69"/>
      <c r="AE57" s="69"/>
      <c r="AF57" s="69"/>
      <c r="AG57" s="69"/>
      <c r="AH57" s="69"/>
      <c r="AI57" s="69"/>
      <c r="AJ57" s="69"/>
      <c r="AK57" s="69"/>
      <c r="AL57" s="69"/>
      <c r="AM57" s="69"/>
      <c r="AN57" s="69"/>
      <c r="AO57" s="69"/>
      <c r="AP57" s="69"/>
      <c r="AQ57" s="69"/>
      <c r="AR57" s="69"/>
      <c r="AS57" s="69"/>
      <c r="AT57" s="69"/>
      <c r="AU57" s="69"/>
      <c r="AV57" s="69"/>
      <c r="AW57" s="69"/>
      <c r="AX57" s="69"/>
      <c r="AY57" s="69"/>
      <c r="AZ57" s="69"/>
      <c r="BA57" s="69"/>
    </row>
    <row r="58" customFormat="false" ht="15" hidden="false" customHeight="false" outlineLevel="0" collapsed="false">
      <c r="B58" s="69"/>
      <c r="C58" s="69"/>
      <c r="D58" s="69"/>
      <c r="E58" s="69"/>
      <c r="F58" s="69"/>
      <c r="G58" s="69"/>
      <c r="H58" s="69"/>
      <c r="I58" s="69"/>
      <c r="J58" s="69"/>
      <c r="K58" s="69"/>
      <c r="L58" s="69"/>
      <c r="M58" s="69"/>
      <c r="N58" s="69"/>
      <c r="O58" s="69"/>
      <c r="P58" s="69"/>
      <c r="Q58" s="69"/>
      <c r="R58" s="69"/>
      <c r="S58" s="69"/>
      <c r="T58" s="69"/>
      <c r="U58" s="69"/>
      <c r="V58" s="69"/>
      <c r="W58" s="69"/>
      <c r="X58" s="69"/>
      <c r="Y58" s="69"/>
      <c r="Z58" s="69"/>
      <c r="AA58" s="69"/>
      <c r="AB58" s="69"/>
      <c r="AC58" s="69"/>
      <c r="AD58" s="69"/>
      <c r="AE58" s="69"/>
      <c r="AF58" s="69"/>
      <c r="AG58" s="69"/>
      <c r="AH58" s="69"/>
      <c r="AI58" s="69"/>
      <c r="AJ58" s="69"/>
      <c r="AK58" s="69"/>
      <c r="AL58" s="69"/>
      <c r="AM58" s="69"/>
      <c r="AN58" s="69"/>
      <c r="AO58" s="69"/>
      <c r="AP58" s="69"/>
      <c r="AQ58" s="69"/>
      <c r="AR58" s="69"/>
      <c r="AS58" s="69"/>
      <c r="AT58" s="69"/>
      <c r="AU58" s="69"/>
      <c r="AV58" s="69"/>
      <c r="AW58" s="69"/>
      <c r="AX58" s="69"/>
      <c r="AY58" s="69"/>
      <c r="AZ58" s="69"/>
      <c r="BA58" s="69"/>
    </row>
    <row r="59" customFormat="false" ht="15" hidden="false" customHeight="false" outlineLevel="0" collapsed="false">
      <c r="B59" s="69"/>
      <c r="C59" s="69"/>
      <c r="D59" s="69"/>
      <c r="E59" s="69"/>
      <c r="F59" s="69"/>
      <c r="G59" s="69"/>
      <c r="H59" s="69"/>
      <c r="I59" s="69"/>
      <c r="J59" s="69"/>
      <c r="K59" s="69"/>
      <c r="L59" s="69"/>
      <c r="M59" s="69"/>
      <c r="N59" s="69"/>
      <c r="O59" s="69"/>
      <c r="P59" s="69"/>
      <c r="Q59" s="69"/>
      <c r="R59" s="69"/>
      <c r="S59" s="69"/>
      <c r="T59" s="69"/>
      <c r="U59" s="69"/>
      <c r="V59" s="69"/>
      <c r="W59" s="69"/>
      <c r="X59" s="69"/>
      <c r="Y59" s="69"/>
      <c r="Z59" s="69"/>
      <c r="AA59" s="69"/>
      <c r="AB59" s="69"/>
      <c r="AC59" s="69"/>
      <c r="AD59" s="69"/>
      <c r="AE59" s="69"/>
      <c r="AF59" s="69"/>
      <c r="AG59" s="69"/>
      <c r="AH59" s="69"/>
      <c r="AI59" s="69"/>
      <c r="AJ59" s="69"/>
      <c r="AK59" s="69"/>
      <c r="AL59" s="69"/>
      <c r="AM59" s="69"/>
      <c r="AN59" s="69"/>
      <c r="AO59" s="69"/>
      <c r="AP59" s="69"/>
      <c r="AQ59" s="69"/>
      <c r="AR59" s="69"/>
      <c r="AS59" s="69"/>
      <c r="AT59" s="69"/>
      <c r="AU59" s="69"/>
      <c r="AV59" s="69"/>
      <c r="AW59" s="69"/>
      <c r="AX59" s="69"/>
      <c r="AY59" s="69"/>
      <c r="AZ59" s="69"/>
      <c r="BA59" s="69"/>
    </row>
    <row r="60" customFormat="false" ht="15" hidden="false" customHeight="false" outlineLevel="0" collapsed="false">
      <c r="B60" s="69"/>
      <c r="C60" s="69"/>
      <c r="D60" s="69"/>
      <c r="E60" s="69"/>
      <c r="F60" s="69"/>
      <c r="G60" s="69"/>
      <c r="H60" s="69"/>
      <c r="I60" s="69"/>
      <c r="J60" s="69"/>
      <c r="K60" s="69"/>
      <c r="L60" s="69"/>
      <c r="M60" s="69"/>
      <c r="N60" s="69"/>
      <c r="O60" s="69"/>
      <c r="P60" s="69"/>
      <c r="Q60" s="69"/>
      <c r="R60" s="69"/>
      <c r="S60" s="69"/>
      <c r="T60" s="69"/>
      <c r="U60" s="69"/>
      <c r="V60" s="69"/>
      <c r="W60" s="69"/>
      <c r="X60" s="69"/>
      <c r="Y60" s="69"/>
      <c r="Z60" s="69"/>
      <c r="AA60" s="69"/>
      <c r="AB60" s="69"/>
      <c r="AC60" s="69"/>
      <c r="AD60" s="69"/>
      <c r="AE60" s="69"/>
      <c r="AF60" s="69"/>
      <c r="AG60" s="69"/>
      <c r="AH60" s="69"/>
      <c r="AI60" s="69"/>
      <c r="AJ60" s="69"/>
      <c r="AK60" s="69"/>
      <c r="AL60" s="69"/>
      <c r="AM60" s="69"/>
      <c r="AN60" s="69"/>
      <c r="AO60" s="69"/>
      <c r="AP60" s="69"/>
      <c r="AQ60" s="69"/>
      <c r="AR60" s="69"/>
      <c r="AS60" s="69"/>
      <c r="AT60" s="69"/>
      <c r="AU60" s="69"/>
      <c r="AV60" s="69"/>
      <c r="AW60" s="69"/>
      <c r="AX60" s="69"/>
      <c r="AY60" s="69"/>
      <c r="AZ60" s="69"/>
      <c r="BA60" s="69"/>
    </row>
    <row r="61" customFormat="false" ht="15" hidden="false" customHeight="false" outlineLevel="0" collapsed="false">
      <c r="B61" s="69"/>
      <c r="C61" s="69"/>
      <c r="D61" s="69"/>
      <c r="E61" s="69"/>
      <c r="F61" s="69"/>
      <c r="G61" s="69"/>
      <c r="H61" s="69"/>
      <c r="I61" s="69"/>
      <c r="J61" s="69"/>
      <c r="K61" s="69"/>
      <c r="L61" s="69"/>
      <c r="M61" s="69"/>
      <c r="N61" s="69"/>
      <c r="O61" s="69"/>
      <c r="P61" s="69"/>
      <c r="Q61" s="69"/>
      <c r="R61" s="69"/>
      <c r="S61" s="69"/>
      <c r="T61" s="69"/>
      <c r="U61" s="69"/>
      <c r="V61" s="69"/>
      <c r="W61" s="69"/>
      <c r="X61" s="69"/>
      <c r="Y61" s="69"/>
      <c r="Z61" s="69"/>
      <c r="AA61" s="69"/>
      <c r="AB61" s="69"/>
      <c r="AC61" s="69"/>
      <c r="AD61" s="69"/>
      <c r="AE61" s="69"/>
      <c r="AF61" s="69"/>
      <c r="AG61" s="69"/>
      <c r="AH61" s="69"/>
      <c r="AI61" s="69"/>
      <c r="AJ61" s="69"/>
      <c r="AK61" s="69"/>
      <c r="AL61" s="69"/>
      <c r="AM61" s="69"/>
      <c r="AN61" s="69"/>
      <c r="AO61" s="69"/>
      <c r="AP61" s="69"/>
      <c r="AQ61" s="69"/>
      <c r="AR61" s="69"/>
      <c r="AS61" s="69"/>
      <c r="AT61" s="69"/>
      <c r="AU61" s="69"/>
      <c r="AV61" s="69"/>
      <c r="AW61" s="69"/>
      <c r="AX61" s="69"/>
      <c r="AY61" s="69"/>
      <c r="AZ61" s="69"/>
      <c r="BA61" s="69"/>
    </row>
    <row r="62" customFormat="false" ht="15" hidden="false" customHeight="false" outlineLevel="0" collapsed="false">
      <c r="B62" s="69"/>
      <c r="C62" s="69"/>
      <c r="D62" s="69"/>
      <c r="E62" s="69"/>
      <c r="F62" s="69"/>
      <c r="G62" s="69"/>
      <c r="H62" s="69"/>
      <c r="I62" s="69"/>
      <c r="J62" s="69"/>
      <c r="K62" s="69"/>
      <c r="L62" s="69"/>
      <c r="M62" s="69"/>
      <c r="N62" s="69"/>
      <c r="O62" s="69"/>
      <c r="P62" s="69"/>
      <c r="Q62" s="69"/>
      <c r="R62" s="69"/>
      <c r="S62" s="69"/>
      <c r="T62" s="69"/>
      <c r="U62" s="69"/>
      <c r="V62" s="69"/>
      <c r="W62" s="69"/>
      <c r="X62" s="69"/>
      <c r="Y62" s="69"/>
      <c r="Z62" s="69"/>
      <c r="AA62" s="69"/>
      <c r="AB62" s="69"/>
      <c r="AC62" s="69"/>
      <c r="AD62" s="69"/>
      <c r="AE62" s="69"/>
      <c r="AF62" s="69"/>
      <c r="AG62" s="69"/>
      <c r="AH62" s="69"/>
      <c r="AI62" s="69"/>
      <c r="AJ62" s="69"/>
      <c r="AK62" s="69"/>
      <c r="AL62" s="69"/>
      <c r="AM62" s="69"/>
      <c r="AN62" s="69"/>
      <c r="AO62" s="69"/>
      <c r="AP62" s="69"/>
      <c r="AQ62" s="69"/>
      <c r="AR62" s="69"/>
      <c r="AS62" s="69"/>
      <c r="AT62" s="69"/>
      <c r="AU62" s="69"/>
      <c r="AV62" s="69"/>
      <c r="AW62" s="69"/>
      <c r="AX62" s="69"/>
      <c r="AY62" s="69"/>
      <c r="AZ62" s="69"/>
      <c r="BA62" s="69"/>
    </row>
    <row r="63" customFormat="false" ht="15" hidden="false" customHeight="false" outlineLevel="0" collapsed="false">
      <c r="B63" s="69"/>
      <c r="C63" s="69"/>
      <c r="D63" s="69"/>
      <c r="E63" s="69"/>
      <c r="F63" s="69"/>
      <c r="G63" s="69"/>
      <c r="H63" s="69"/>
      <c r="I63" s="69"/>
      <c r="J63" s="69"/>
      <c r="K63" s="69"/>
      <c r="L63" s="69"/>
      <c r="M63" s="69"/>
      <c r="N63" s="69"/>
      <c r="O63" s="69"/>
      <c r="P63" s="69"/>
      <c r="Q63" s="69"/>
      <c r="R63" s="69"/>
      <c r="S63" s="69"/>
      <c r="T63" s="69"/>
      <c r="U63" s="69"/>
      <c r="V63" s="69"/>
      <c r="W63" s="69"/>
      <c r="X63" s="69"/>
      <c r="Y63" s="69"/>
      <c r="Z63" s="69"/>
      <c r="AA63" s="69"/>
      <c r="AB63" s="69"/>
      <c r="AC63" s="69"/>
      <c r="AD63" s="69"/>
      <c r="AE63" s="69"/>
      <c r="AF63" s="69"/>
      <c r="AG63" s="69"/>
      <c r="AH63" s="69"/>
      <c r="AI63" s="69"/>
      <c r="AJ63" s="69"/>
      <c r="AK63" s="69"/>
      <c r="AL63" s="69"/>
      <c r="AM63" s="69"/>
      <c r="AN63" s="69"/>
      <c r="AO63" s="69"/>
      <c r="AP63" s="69"/>
      <c r="AQ63" s="69"/>
      <c r="AR63" s="69"/>
      <c r="AS63" s="69"/>
      <c r="AT63" s="69"/>
      <c r="AU63" s="69"/>
      <c r="AV63" s="69"/>
      <c r="AW63" s="69"/>
      <c r="AX63" s="69"/>
      <c r="AY63" s="69"/>
      <c r="AZ63" s="69"/>
      <c r="BA63" s="69"/>
    </row>
    <row r="64" customFormat="false" ht="15" hidden="false" customHeight="false" outlineLevel="0" collapsed="false">
      <c r="B64" s="69"/>
      <c r="C64" s="69"/>
      <c r="D64" s="69"/>
      <c r="E64" s="69"/>
      <c r="F64" s="69"/>
      <c r="G64" s="69"/>
      <c r="H64" s="69"/>
      <c r="I64" s="69"/>
      <c r="J64" s="69"/>
      <c r="K64" s="69"/>
      <c r="L64" s="69"/>
      <c r="M64" s="69"/>
      <c r="N64" s="69"/>
      <c r="O64" s="69"/>
      <c r="P64" s="69"/>
      <c r="Q64" s="69"/>
      <c r="R64" s="69"/>
      <c r="S64" s="69"/>
      <c r="T64" s="69"/>
      <c r="U64" s="69"/>
      <c r="V64" s="69"/>
      <c r="W64" s="69"/>
      <c r="X64" s="69"/>
      <c r="Y64" s="69"/>
      <c r="Z64" s="69"/>
      <c r="AA64" s="69"/>
      <c r="AB64" s="69"/>
      <c r="AC64" s="69"/>
      <c r="AD64" s="69"/>
      <c r="AE64" s="69"/>
      <c r="AF64" s="69"/>
      <c r="AG64" s="69"/>
      <c r="AH64" s="69"/>
      <c r="AI64" s="69"/>
      <c r="AJ64" s="69"/>
      <c r="AK64" s="69"/>
      <c r="AL64" s="69"/>
      <c r="AM64" s="69"/>
      <c r="AN64" s="69"/>
      <c r="AO64" s="69"/>
      <c r="AP64" s="69"/>
      <c r="AQ64" s="69"/>
      <c r="AR64" s="69"/>
      <c r="AS64" s="69"/>
      <c r="AT64" s="69"/>
      <c r="AU64" s="69"/>
      <c r="AV64" s="69"/>
      <c r="AW64" s="69"/>
      <c r="AX64" s="69"/>
      <c r="AY64" s="69"/>
      <c r="AZ64" s="69"/>
      <c r="BA64" s="69"/>
    </row>
    <row r="65" customFormat="false" ht="15" hidden="false" customHeight="false" outlineLevel="0" collapsed="false">
      <c r="B65" s="69"/>
      <c r="C65" s="69"/>
      <c r="D65" s="69"/>
      <c r="E65" s="69"/>
      <c r="F65" s="69"/>
      <c r="G65" s="69"/>
      <c r="H65" s="69"/>
      <c r="I65" s="69"/>
      <c r="J65" s="69"/>
      <c r="K65" s="69"/>
      <c r="L65" s="69"/>
      <c r="M65" s="69"/>
      <c r="N65" s="69"/>
      <c r="O65" s="69"/>
      <c r="P65" s="69"/>
      <c r="Q65" s="69"/>
      <c r="R65" s="69"/>
      <c r="S65" s="69"/>
      <c r="T65" s="69"/>
      <c r="U65" s="69"/>
      <c r="V65" s="69"/>
      <c r="W65" s="69"/>
      <c r="X65" s="69"/>
      <c r="Y65" s="69"/>
      <c r="Z65" s="69"/>
      <c r="AA65" s="69"/>
      <c r="AB65" s="69"/>
      <c r="AC65" s="69"/>
      <c r="AD65" s="69"/>
      <c r="AE65" s="69"/>
      <c r="AF65" s="69"/>
      <c r="AG65" s="69"/>
      <c r="AH65" s="69"/>
      <c r="AI65" s="69"/>
      <c r="AJ65" s="69"/>
      <c r="AK65" s="69"/>
      <c r="AL65" s="69"/>
      <c r="AM65" s="69"/>
      <c r="AN65" s="69"/>
      <c r="AO65" s="69"/>
      <c r="AP65" s="69"/>
      <c r="AQ65" s="69"/>
      <c r="AR65" s="69"/>
      <c r="AS65" s="69"/>
      <c r="AT65" s="69"/>
      <c r="AU65" s="69"/>
      <c r="AV65" s="69"/>
      <c r="AW65" s="69"/>
      <c r="AX65" s="69"/>
      <c r="AY65" s="69"/>
      <c r="AZ65" s="69"/>
      <c r="BA65" s="69"/>
    </row>
    <row r="66" customFormat="false" ht="15" hidden="false" customHeight="false" outlineLevel="0" collapsed="false">
      <c r="B66" s="69"/>
      <c r="C66" s="69"/>
      <c r="D66" s="69"/>
      <c r="E66" s="69"/>
      <c r="F66" s="69"/>
      <c r="G66" s="69"/>
      <c r="H66" s="69"/>
      <c r="I66" s="69"/>
      <c r="J66" s="69"/>
      <c r="K66" s="69"/>
      <c r="L66" s="69"/>
      <c r="M66" s="69"/>
      <c r="N66" s="69"/>
      <c r="O66" s="69"/>
      <c r="P66" s="69"/>
      <c r="Q66" s="69"/>
      <c r="R66" s="69"/>
      <c r="S66" s="69"/>
      <c r="T66" s="69"/>
      <c r="U66" s="69"/>
      <c r="V66" s="69"/>
      <c r="W66" s="69"/>
      <c r="X66" s="69"/>
      <c r="Y66" s="69"/>
      <c r="Z66" s="69"/>
      <c r="AA66" s="69"/>
      <c r="AB66" s="69"/>
      <c r="AC66" s="69"/>
      <c r="AD66" s="69"/>
      <c r="AE66" s="69"/>
      <c r="AF66" s="69"/>
      <c r="AG66" s="69"/>
      <c r="AH66" s="69"/>
      <c r="AI66" s="69"/>
      <c r="AJ66" s="69"/>
      <c r="AK66" s="69"/>
      <c r="AL66" s="69"/>
      <c r="AM66" s="69"/>
      <c r="AN66" s="69"/>
      <c r="AO66" s="69"/>
      <c r="AP66" s="69"/>
      <c r="AQ66" s="69"/>
      <c r="AR66" s="69"/>
      <c r="AS66" s="69"/>
      <c r="AT66" s="69"/>
      <c r="AU66" s="69"/>
      <c r="AV66" s="69"/>
      <c r="AW66" s="69"/>
      <c r="AX66" s="69"/>
      <c r="AY66" s="69"/>
      <c r="AZ66" s="69"/>
      <c r="BA66" s="69"/>
    </row>
    <row r="67" customFormat="false" ht="15" hidden="false" customHeight="false" outlineLevel="0" collapsed="false">
      <c r="B67" s="69"/>
      <c r="C67" s="69"/>
      <c r="D67" s="69"/>
      <c r="E67" s="69"/>
      <c r="F67" s="69"/>
      <c r="G67" s="69"/>
      <c r="H67" s="69"/>
      <c r="I67" s="69"/>
      <c r="J67" s="69"/>
      <c r="K67" s="69"/>
      <c r="L67" s="69"/>
      <c r="M67" s="69"/>
      <c r="N67" s="69"/>
      <c r="O67" s="69"/>
      <c r="P67" s="69"/>
      <c r="Q67" s="69"/>
      <c r="R67" s="69"/>
      <c r="S67" s="69"/>
      <c r="T67" s="69"/>
      <c r="U67" s="69"/>
      <c r="V67" s="69"/>
      <c r="W67" s="69"/>
      <c r="X67" s="69"/>
      <c r="Y67" s="69"/>
      <c r="Z67" s="69"/>
      <c r="AA67" s="69"/>
      <c r="AB67" s="69"/>
      <c r="AC67" s="69"/>
      <c r="AD67" s="69"/>
      <c r="AE67" s="69"/>
      <c r="AF67" s="69"/>
      <c r="AG67" s="69"/>
      <c r="AH67" s="69"/>
      <c r="AI67" s="69"/>
      <c r="AJ67" s="69"/>
      <c r="AK67" s="69"/>
      <c r="AL67" s="69"/>
      <c r="AM67" s="69"/>
      <c r="AN67" s="69"/>
      <c r="AO67" s="69"/>
      <c r="AP67" s="69"/>
      <c r="AQ67" s="69"/>
      <c r="AR67" s="69"/>
      <c r="AS67" s="69"/>
      <c r="AT67" s="69"/>
      <c r="AU67" s="69"/>
      <c r="AV67" s="69"/>
      <c r="AW67" s="69"/>
      <c r="AX67" s="69"/>
      <c r="AY67" s="69"/>
      <c r="AZ67" s="69"/>
      <c r="BA67" s="69"/>
    </row>
    <row r="68" customFormat="false" ht="15" hidden="false" customHeight="false" outlineLevel="0" collapsed="false">
      <c r="B68" s="69"/>
      <c r="C68" s="69"/>
      <c r="D68" s="69"/>
      <c r="E68" s="69"/>
      <c r="F68" s="69"/>
      <c r="G68" s="69"/>
      <c r="H68" s="69"/>
      <c r="I68" s="69"/>
      <c r="J68" s="69"/>
      <c r="K68" s="69"/>
      <c r="L68" s="69"/>
      <c r="M68" s="69"/>
      <c r="N68" s="69"/>
      <c r="O68" s="69"/>
      <c r="P68" s="69"/>
      <c r="Q68" s="69"/>
      <c r="R68" s="69"/>
      <c r="S68" s="69"/>
      <c r="T68" s="69"/>
      <c r="U68" s="69"/>
      <c r="V68" s="69"/>
      <c r="W68" s="69"/>
      <c r="X68" s="69"/>
      <c r="Y68" s="69"/>
      <c r="Z68" s="69"/>
      <c r="AA68" s="69"/>
      <c r="AB68" s="69"/>
      <c r="AC68" s="69"/>
      <c r="AD68" s="69"/>
      <c r="AE68" s="69"/>
      <c r="AF68" s="69"/>
      <c r="AG68" s="69"/>
      <c r="AH68" s="69"/>
      <c r="AI68" s="69"/>
      <c r="AJ68" s="69"/>
      <c r="AK68" s="69"/>
      <c r="AL68" s="69"/>
      <c r="AM68" s="69"/>
      <c r="AN68" s="69"/>
      <c r="AO68" s="69"/>
      <c r="AP68" s="69"/>
      <c r="AQ68" s="69"/>
      <c r="AR68" s="69"/>
      <c r="AS68" s="69"/>
      <c r="AT68" s="69"/>
      <c r="AU68" s="69"/>
      <c r="AV68" s="69"/>
      <c r="AW68" s="69"/>
      <c r="AX68" s="69"/>
      <c r="AY68" s="69"/>
      <c r="AZ68" s="69"/>
      <c r="BA68" s="69"/>
    </row>
    <row r="69" customFormat="false" ht="15" hidden="false" customHeight="false" outlineLevel="0" collapsed="false">
      <c r="B69" s="69"/>
      <c r="C69" s="69"/>
      <c r="D69" s="69"/>
      <c r="E69" s="69"/>
      <c r="F69" s="69"/>
      <c r="G69" s="69"/>
      <c r="H69" s="69"/>
      <c r="I69" s="69"/>
      <c r="J69" s="69"/>
      <c r="K69" s="69"/>
      <c r="L69" s="69"/>
      <c r="M69" s="69"/>
      <c r="N69" s="69"/>
      <c r="O69" s="69"/>
      <c r="P69" s="69"/>
      <c r="Q69" s="69"/>
      <c r="R69" s="69"/>
      <c r="S69" s="69"/>
      <c r="T69" s="69"/>
      <c r="U69" s="69"/>
      <c r="V69" s="69"/>
      <c r="W69" s="69"/>
      <c r="X69" s="69"/>
      <c r="Y69" s="69"/>
      <c r="Z69" s="69"/>
      <c r="AA69" s="69"/>
      <c r="AB69" s="69"/>
      <c r="AC69" s="69"/>
      <c r="AD69" s="69"/>
      <c r="AE69" s="69"/>
      <c r="AF69" s="69"/>
      <c r="AG69" s="69"/>
      <c r="AH69" s="69"/>
      <c r="AI69" s="69"/>
      <c r="AJ69" s="69"/>
      <c r="AK69" s="69"/>
      <c r="AL69" s="69"/>
      <c r="AM69" s="69"/>
      <c r="AN69" s="69"/>
      <c r="AO69" s="69"/>
      <c r="AP69" s="69"/>
      <c r="AQ69" s="69"/>
      <c r="AR69" s="69"/>
      <c r="AS69" s="69"/>
      <c r="AT69" s="69"/>
      <c r="AU69" s="69"/>
      <c r="AV69" s="69"/>
      <c r="AW69" s="69"/>
      <c r="AX69" s="69"/>
      <c r="AY69" s="69"/>
      <c r="AZ69" s="69"/>
      <c r="BA69" s="69"/>
    </row>
    <row r="70" customFormat="false" ht="15" hidden="false" customHeight="false" outlineLevel="0" collapsed="false">
      <c r="B70" s="69"/>
      <c r="C70" s="69"/>
      <c r="D70" s="69"/>
      <c r="E70" s="69"/>
      <c r="F70" s="69"/>
      <c r="G70" s="69"/>
      <c r="H70" s="69"/>
      <c r="I70" s="69"/>
      <c r="J70" s="69"/>
      <c r="K70" s="69"/>
      <c r="L70" s="69"/>
      <c r="M70" s="69"/>
      <c r="N70" s="69"/>
      <c r="O70" s="69"/>
      <c r="P70" s="69"/>
      <c r="Q70" s="69"/>
      <c r="R70" s="69"/>
      <c r="S70" s="69"/>
      <c r="T70" s="69"/>
      <c r="U70" s="69"/>
      <c r="V70" s="69"/>
      <c r="W70" s="69"/>
      <c r="X70" s="69"/>
      <c r="Y70" s="69"/>
      <c r="Z70" s="69"/>
      <c r="AA70" s="69"/>
      <c r="AB70" s="69"/>
      <c r="AC70" s="69"/>
      <c r="AD70" s="69"/>
      <c r="AE70" s="69"/>
      <c r="AF70" s="69"/>
      <c r="AG70" s="69"/>
      <c r="AH70" s="69"/>
      <c r="AI70" s="69"/>
      <c r="AJ70" s="69"/>
      <c r="AK70" s="69"/>
      <c r="AL70" s="69"/>
      <c r="AM70" s="69"/>
      <c r="AN70" s="69"/>
      <c r="AO70" s="69"/>
      <c r="AP70" s="69"/>
      <c r="AQ70" s="69"/>
      <c r="AR70" s="69"/>
      <c r="AS70" s="69"/>
      <c r="AT70" s="69"/>
      <c r="AU70" s="69"/>
      <c r="AV70" s="69"/>
      <c r="AW70" s="69"/>
      <c r="AX70" s="69"/>
      <c r="AY70" s="69"/>
      <c r="AZ70" s="69"/>
      <c r="BA70" s="69"/>
    </row>
    <row r="71" customFormat="false" ht="15" hidden="false" customHeight="false" outlineLevel="0" collapsed="false">
      <c r="B71" s="69"/>
      <c r="C71" s="69"/>
      <c r="D71" s="69"/>
      <c r="E71" s="69"/>
      <c r="F71" s="69"/>
      <c r="G71" s="69"/>
      <c r="H71" s="69"/>
      <c r="I71" s="69"/>
      <c r="J71" s="69"/>
      <c r="K71" s="69"/>
      <c r="L71" s="69"/>
      <c r="M71" s="69"/>
      <c r="N71" s="69"/>
      <c r="O71" s="69"/>
      <c r="P71" s="69"/>
      <c r="Q71" s="69"/>
      <c r="R71" s="69"/>
      <c r="S71" s="69"/>
      <c r="T71" s="69"/>
      <c r="U71" s="69"/>
      <c r="V71" s="69"/>
      <c r="W71" s="69"/>
      <c r="X71" s="69"/>
      <c r="Y71" s="69"/>
      <c r="Z71" s="69"/>
      <c r="AA71" s="69"/>
      <c r="AB71" s="69"/>
      <c r="AC71" s="69"/>
      <c r="AD71" s="69"/>
      <c r="AE71" s="69"/>
      <c r="AF71" s="69"/>
      <c r="AG71" s="69"/>
      <c r="AH71" s="69"/>
      <c r="AI71" s="69"/>
      <c r="AJ71" s="69"/>
      <c r="AK71" s="69"/>
      <c r="AL71" s="69"/>
      <c r="AM71" s="69"/>
      <c r="AN71" s="69"/>
      <c r="AO71" s="69"/>
      <c r="AP71" s="69"/>
      <c r="AQ71" s="69"/>
      <c r="AR71" s="69"/>
      <c r="AS71" s="69"/>
      <c r="AT71" s="69"/>
      <c r="AU71" s="69"/>
      <c r="AV71" s="69"/>
      <c r="AW71" s="69"/>
      <c r="AX71" s="69"/>
      <c r="AY71" s="69"/>
      <c r="AZ71" s="69"/>
      <c r="BA71" s="69"/>
    </row>
    <row r="72" customFormat="false" ht="15" hidden="false" customHeight="false" outlineLevel="0" collapsed="false">
      <c r="B72" s="69"/>
      <c r="C72" s="69"/>
      <c r="D72" s="69"/>
      <c r="E72" s="69"/>
      <c r="F72" s="69"/>
      <c r="G72" s="69"/>
      <c r="H72" s="69"/>
      <c r="I72" s="69"/>
      <c r="J72" s="69"/>
      <c r="K72" s="69"/>
      <c r="L72" s="69"/>
      <c r="M72" s="69"/>
      <c r="N72" s="69"/>
      <c r="O72" s="69"/>
      <c r="P72" s="69"/>
      <c r="Q72" s="69"/>
      <c r="R72" s="69"/>
      <c r="S72" s="69"/>
      <c r="T72" s="69"/>
      <c r="U72" s="69"/>
      <c r="V72" s="69"/>
      <c r="W72" s="69"/>
      <c r="X72" s="69"/>
      <c r="Y72" s="69"/>
      <c r="Z72" s="69"/>
      <c r="AA72" s="69"/>
      <c r="AB72" s="69"/>
      <c r="AC72" s="69"/>
      <c r="AD72" s="69"/>
      <c r="AE72" s="69"/>
      <c r="AF72" s="69"/>
      <c r="AG72" s="69"/>
      <c r="AH72" s="69"/>
      <c r="AI72" s="69"/>
      <c r="AJ72" s="69"/>
      <c r="AK72" s="69"/>
      <c r="AL72" s="69"/>
      <c r="AM72" s="69"/>
      <c r="AN72" s="69"/>
      <c r="AO72" s="69"/>
      <c r="AP72" s="69"/>
      <c r="AQ72" s="69"/>
      <c r="AR72" s="69"/>
      <c r="AS72" s="69"/>
      <c r="AT72" s="69"/>
      <c r="AU72" s="69"/>
      <c r="AV72" s="69"/>
      <c r="AW72" s="69"/>
      <c r="AX72" s="69"/>
      <c r="AY72" s="69"/>
      <c r="AZ72" s="69"/>
      <c r="BA72" s="69"/>
    </row>
    <row r="73" customFormat="false" ht="15" hidden="false" customHeight="false" outlineLevel="0" collapsed="false">
      <c r="B73" s="69"/>
      <c r="C73" s="69"/>
      <c r="D73" s="69"/>
      <c r="E73" s="69"/>
      <c r="F73" s="69"/>
      <c r="G73" s="69"/>
      <c r="H73" s="69"/>
      <c r="I73" s="69"/>
      <c r="J73" s="69"/>
      <c r="K73" s="69"/>
      <c r="L73" s="69"/>
      <c r="M73" s="69"/>
      <c r="N73" s="69"/>
      <c r="O73" s="69"/>
      <c r="P73" s="69"/>
      <c r="Q73" s="69"/>
      <c r="R73" s="69"/>
      <c r="S73" s="69"/>
      <c r="T73" s="69"/>
      <c r="U73" s="69"/>
      <c r="V73" s="69"/>
      <c r="W73" s="69"/>
      <c r="X73" s="69"/>
      <c r="Y73" s="69"/>
      <c r="Z73" s="69"/>
      <c r="AA73" s="69"/>
      <c r="AB73" s="69"/>
      <c r="AC73" s="69"/>
      <c r="AD73" s="69"/>
      <c r="AE73" s="69"/>
      <c r="AF73" s="69"/>
      <c r="AG73" s="69"/>
      <c r="AH73" s="69"/>
      <c r="AI73" s="69"/>
      <c r="AJ73" s="69"/>
      <c r="AK73" s="69"/>
      <c r="AL73" s="69"/>
      <c r="AM73" s="69"/>
      <c r="AN73" s="69"/>
      <c r="AO73" s="69"/>
      <c r="AP73" s="69"/>
      <c r="AQ73" s="69"/>
      <c r="AR73" s="69"/>
      <c r="AS73" s="69"/>
      <c r="AT73" s="69"/>
      <c r="AU73" s="69"/>
      <c r="AV73" s="69"/>
      <c r="AW73" s="69"/>
      <c r="AX73" s="69"/>
      <c r="AY73" s="69"/>
      <c r="AZ73" s="69"/>
      <c r="BA73" s="69"/>
    </row>
    <row r="74" customFormat="false" ht="15" hidden="false" customHeight="false" outlineLevel="0" collapsed="false">
      <c r="B74" s="69"/>
      <c r="C74" s="69"/>
      <c r="D74" s="69"/>
      <c r="E74" s="69"/>
      <c r="F74" s="69"/>
      <c r="G74" s="69"/>
      <c r="H74" s="69"/>
      <c r="I74" s="69"/>
      <c r="J74" s="69"/>
      <c r="K74" s="69"/>
      <c r="L74" s="69"/>
      <c r="M74" s="69"/>
      <c r="N74" s="69"/>
      <c r="O74" s="69"/>
      <c r="P74" s="69"/>
      <c r="Q74" s="69"/>
      <c r="R74" s="69"/>
      <c r="S74" s="69"/>
      <c r="T74" s="69"/>
      <c r="U74" s="69"/>
      <c r="V74" s="69"/>
      <c r="W74" s="69"/>
      <c r="X74" s="69"/>
      <c r="Y74" s="69"/>
      <c r="Z74" s="69"/>
      <c r="AA74" s="69"/>
      <c r="AB74" s="69"/>
      <c r="AC74" s="69"/>
      <c r="AD74" s="69"/>
      <c r="AE74" s="69"/>
      <c r="AF74" s="69"/>
      <c r="AG74" s="69"/>
      <c r="AH74" s="69"/>
      <c r="AI74" s="69"/>
      <c r="AJ74" s="69"/>
      <c r="AK74" s="69"/>
      <c r="AL74" s="69"/>
      <c r="AM74" s="69"/>
      <c r="AN74" s="69"/>
      <c r="AO74" s="69"/>
      <c r="AP74" s="69"/>
      <c r="AQ74" s="69"/>
      <c r="AR74" s="69"/>
      <c r="AS74" s="69"/>
      <c r="AT74" s="69"/>
      <c r="AU74" s="69"/>
      <c r="AV74" s="69"/>
      <c r="AW74" s="69"/>
      <c r="AX74" s="69"/>
      <c r="AY74" s="69"/>
      <c r="AZ74" s="69"/>
      <c r="BA74" s="69"/>
    </row>
    <row r="75" customFormat="false" ht="15" hidden="false" customHeight="false" outlineLevel="0" collapsed="false">
      <c r="B75" s="69"/>
      <c r="C75" s="69"/>
      <c r="D75" s="69"/>
      <c r="E75" s="69"/>
      <c r="F75" s="69"/>
      <c r="G75" s="69"/>
      <c r="H75" s="69"/>
      <c r="I75" s="69"/>
      <c r="J75" s="69"/>
      <c r="K75" s="69"/>
      <c r="L75" s="69"/>
      <c r="M75" s="69"/>
      <c r="N75" s="69"/>
      <c r="O75" s="69"/>
      <c r="P75" s="69"/>
      <c r="Q75" s="69"/>
      <c r="R75" s="69"/>
      <c r="S75" s="69"/>
      <c r="T75" s="69"/>
      <c r="U75" s="69"/>
      <c r="V75" s="69"/>
      <c r="W75" s="69"/>
      <c r="X75" s="69"/>
      <c r="Y75" s="69"/>
      <c r="Z75" s="69"/>
      <c r="AA75" s="69"/>
      <c r="AB75" s="69"/>
      <c r="AC75" s="69"/>
      <c r="AD75" s="69"/>
      <c r="AE75" s="69"/>
      <c r="AF75" s="69"/>
      <c r="AG75" s="69"/>
      <c r="AH75" s="69"/>
      <c r="AI75" s="69"/>
      <c r="AJ75" s="69"/>
      <c r="AK75" s="69"/>
      <c r="AL75" s="69"/>
      <c r="AM75" s="69"/>
      <c r="AN75" s="69"/>
      <c r="AO75" s="69"/>
      <c r="AP75" s="69"/>
      <c r="AQ75" s="69"/>
      <c r="AR75" s="69"/>
      <c r="AS75" s="69"/>
      <c r="AT75" s="69"/>
      <c r="AU75" s="69"/>
      <c r="AV75" s="69"/>
      <c r="AW75" s="69"/>
      <c r="AX75" s="69"/>
      <c r="AY75" s="69"/>
      <c r="AZ75" s="69"/>
      <c r="BA75" s="69"/>
    </row>
    <row r="76" customFormat="false" ht="15" hidden="false" customHeight="false" outlineLevel="0" collapsed="false">
      <c r="B76" s="69"/>
      <c r="C76" s="69"/>
      <c r="D76" s="69"/>
      <c r="E76" s="69"/>
      <c r="F76" s="69"/>
      <c r="G76" s="69"/>
      <c r="H76" s="69"/>
      <c r="I76" s="69"/>
      <c r="J76" s="69"/>
      <c r="K76" s="69"/>
      <c r="L76" s="69"/>
      <c r="M76" s="69"/>
      <c r="N76" s="69"/>
      <c r="O76" s="69"/>
      <c r="P76" s="69"/>
      <c r="Q76" s="69"/>
      <c r="R76" s="69"/>
      <c r="S76" s="69"/>
      <c r="T76" s="69"/>
      <c r="U76" s="69"/>
      <c r="V76" s="69"/>
      <c r="W76" s="69"/>
      <c r="X76" s="69"/>
      <c r="Y76" s="69"/>
      <c r="Z76" s="69"/>
      <c r="AA76" s="69"/>
      <c r="AB76" s="69"/>
      <c r="AC76" s="69"/>
      <c r="AD76" s="69"/>
      <c r="AE76" s="69"/>
      <c r="AF76" s="69"/>
      <c r="AG76" s="69"/>
      <c r="AH76" s="69"/>
      <c r="AI76" s="69"/>
      <c r="AJ76" s="69"/>
      <c r="AK76" s="69"/>
      <c r="AL76" s="69"/>
      <c r="AM76" s="69"/>
      <c r="AN76" s="69"/>
      <c r="AO76" s="69"/>
      <c r="AP76" s="69"/>
      <c r="AQ76" s="69"/>
      <c r="AR76" s="69"/>
      <c r="AS76" s="69"/>
      <c r="AT76" s="69"/>
      <c r="AU76" s="69"/>
      <c r="AV76" s="69"/>
      <c r="AW76" s="69"/>
      <c r="AX76" s="69"/>
      <c r="AY76" s="69"/>
      <c r="AZ76" s="69"/>
      <c r="BA76" s="69"/>
    </row>
    <row r="77" customFormat="false" ht="15" hidden="false" customHeight="false" outlineLevel="0" collapsed="false">
      <c r="B77" s="69"/>
      <c r="C77" s="69"/>
      <c r="D77" s="69"/>
      <c r="E77" s="69"/>
      <c r="F77" s="69"/>
      <c r="G77" s="69"/>
      <c r="H77" s="69"/>
      <c r="I77" s="69"/>
      <c r="J77" s="69"/>
      <c r="K77" s="69"/>
      <c r="L77" s="69"/>
      <c r="M77" s="69"/>
      <c r="N77" s="69"/>
      <c r="O77" s="69"/>
      <c r="P77" s="69"/>
      <c r="Q77" s="69"/>
      <c r="R77" s="69"/>
      <c r="S77" s="69"/>
      <c r="T77" s="69"/>
      <c r="U77" s="69"/>
      <c r="V77" s="69"/>
      <c r="W77" s="69"/>
      <c r="X77" s="69"/>
      <c r="Y77" s="69"/>
      <c r="Z77" s="69"/>
      <c r="AA77" s="69"/>
      <c r="AB77" s="69"/>
      <c r="AC77" s="69"/>
      <c r="AD77" s="69"/>
      <c r="AE77" s="69"/>
      <c r="AF77" s="69"/>
      <c r="AG77" s="69"/>
      <c r="AH77" s="69"/>
      <c r="AI77" s="69"/>
      <c r="AJ77" s="69"/>
      <c r="AK77" s="69"/>
      <c r="AL77" s="69"/>
      <c r="AM77" s="69"/>
      <c r="AN77" s="69"/>
      <c r="AO77" s="69"/>
      <c r="AP77" s="69"/>
      <c r="AQ77" s="69"/>
      <c r="AR77" s="69"/>
      <c r="AS77" s="69"/>
      <c r="AT77" s="69"/>
      <c r="AU77" s="69"/>
      <c r="AV77" s="69"/>
      <c r="AW77" s="69"/>
      <c r="AX77" s="69"/>
      <c r="AY77" s="69"/>
      <c r="AZ77" s="69"/>
      <c r="BA77" s="69"/>
    </row>
    <row r="78" customFormat="false" ht="15" hidden="false" customHeight="false" outlineLevel="0" collapsed="false">
      <c r="B78" s="69"/>
      <c r="C78" s="69"/>
      <c r="D78" s="69"/>
      <c r="E78" s="69"/>
      <c r="F78" s="69"/>
      <c r="G78" s="69"/>
      <c r="H78" s="69"/>
      <c r="I78" s="69"/>
      <c r="J78" s="69"/>
      <c r="K78" s="69"/>
      <c r="L78" s="69"/>
      <c r="M78" s="69"/>
      <c r="N78" s="69"/>
      <c r="O78" s="69"/>
      <c r="P78" s="69"/>
      <c r="Q78" s="69"/>
      <c r="R78" s="69"/>
      <c r="S78" s="69"/>
      <c r="T78" s="69"/>
      <c r="U78" s="69"/>
      <c r="V78" s="69"/>
      <c r="W78" s="69"/>
      <c r="X78" s="69"/>
      <c r="Y78" s="69"/>
      <c r="Z78" s="69"/>
      <c r="AA78" s="69"/>
      <c r="AB78" s="69"/>
      <c r="AC78" s="69"/>
      <c r="AD78" s="69"/>
      <c r="AE78" s="69"/>
      <c r="AF78" s="69"/>
      <c r="AG78" s="69"/>
      <c r="AH78" s="69"/>
      <c r="AI78" s="69"/>
      <c r="AJ78" s="69"/>
      <c r="AK78" s="69"/>
      <c r="AL78" s="69"/>
      <c r="AM78" s="69"/>
      <c r="AN78" s="69"/>
      <c r="AO78" s="69"/>
      <c r="AP78" s="69"/>
      <c r="AQ78" s="69"/>
      <c r="AR78" s="69"/>
      <c r="AS78" s="69"/>
      <c r="AT78" s="69"/>
      <c r="AU78" s="69"/>
      <c r="AV78" s="69"/>
      <c r="AW78" s="69"/>
      <c r="AX78" s="69"/>
      <c r="AY78" s="69"/>
      <c r="AZ78" s="69"/>
      <c r="BA78" s="69"/>
    </row>
    <row r="79" customFormat="false" ht="15" hidden="false" customHeight="false" outlineLevel="0" collapsed="false">
      <c r="B79" s="69"/>
      <c r="C79" s="69"/>
      <c r="D79" s="69"/>
      <c r="E79" s="69"/>
      <c r="F79" s="69"/>
      <c r="G79" s="69"/>
      <c r="H79" s="69"/>
      <c r="I79" s="69"/>
      <c r="J79" s="69"/>
      <c r="K79" s="69"/>
      <c r="L79" s="69"/>
      <c r="M79" s="69"/>
      <c r="N79" s="69"/>
      <c r="O79" s="69"/>
      <c r="P79" s="69"/>
      <c r="Q79" s="69"/>
      <c r="R79" s="69"/>
      <c r="S79" s="69"/>
      <c r="T79" s="69"/>
      <c r="U79" s="69"/>
      <c r="V79" s="69"/>
      <c r="W79" s="69"/>
      <c r="X79" s="69"/>
      <c r="Y79" s="69"/>
      <c r="Z79" s="69"/>
      <c r="AA79" s="69"/>
      <c r="AB79" s="69"/>
      <c r="AC79" s="69"/>
      <c r="AD79" s="69"/>
      <c r="AE79" s="69"/>
      <c r="AF79" s="69"/>
      <c r="AG79" s="69"/>
      <c r="AH79" s="69"/>
      <c r="AI79" s="69"/>
      <c r="AJ79" s="69"/>
      <c r="AK79" s="69"/>
      <c r="AL79" s="69"/>
      <c r="AM79" s="69"/>
      <c r="AN79" s="69"/>
      <c r="AO79" s="69"/>
      <c r="AP79" s="69"/>
      <c r="AQ79" s="69"/>
      <c r="AR79" s="69"/>
      <c r="AS79" s="69"/>
      <c r="AT79" s="69"/>
      <c r="AU79" s="69"/>
      <c r="AV79" s="69"/>
      <c r="AW79" s="69"/>
      <c r="AX79" s="69"/>
      <c r="AY79" s="69"/>
      <c r="AZ79" s="69"/>
      <c r="BA79" s="69"/>
    </row>
    <row r="80" customFormat="false" ht="15" hidden="false" customHeight="false" outlineLevel="0" collapsed="false">
      <c r="B80" s="69"/>
      <c r="C80" s="69"/>
      <c r="D80" s="69"/>
      <c r="E80" s="69"/>
      <c r="F80" s="69"/>
      <c r="G80" s="69"/>
      <c r="H80" s="69"/>
      <c r="I80" s="69"/>
      <c r="J80" s="69"/>
      <c r="K80" s="69"/>
      <c r="L80" s="69"/>
      <c r="M80" s="69"/>
      <c r="N80" s="69"/>
      <c r="O80" s="69"/>
      <c r="P80" s="69"/>
      <c r="Q80" s="69"/>
      <c r="R80" s="69"/>
      <c r="S80" s="69"/>
      <c r="T80" s="69"/>
      <c r="U80" s="69"/>
      <c r="V80" s="69"/>
      <c r="W80" s="69"/>
      <c r="X80" s="69"/>
      <c r="Y80" s="69"/>
      <c r="Z80" s="69"/>
      <c r="AA80" s="69"/>
      <c r="AB80" s="69"/>
      <c r="AC80" s="69"/>
      <c r="AD80" s="69"/>
      <c r="AE80" s="69"/>
      <c r="AF80" s="69"/>
      <c r="AG80" s="69"/>
      <c r="AH80" s="69"/>
      <c r="AI80" s="69"/>
      <c r="AJ80" s="69"/>
      <c r="AK80" s="69"/>
      <c r="AL80" s="69"/>
      <c r="AM80" s="69"/>
      <c r="AN80" s="69"/>
      <c r="AO80" s="69"/>
      <c r="AP80" s="69"/>
      <c r="AQ80" s="69"/>
      <c r="AR80" s="69"/>
      <c r="AS80" s="69"/>
      <c r="AT80" s="69"/>
      <c r="AU80" s="69"/>
      <c r="AV80" s="69"/>
      <c r="AW80" s="69"/>
      <c r="AX80" s="69"/>
      <c r="AY80" s="69"/>
      <c r="AZ80" s="69"/>
      <c r="BA80" s="69"/>
    </row>
    <row r="81" customFormat="false" ht="15" hidden="false" customHeight="false" outlineLevel="0" collapsed="false">
      <c r="B81" s="69"/>
      <c r="C81" s="69"/>
      <c r="D81" s="69"/>
      <c r="E81" s="69"/>
      <c r="F81" s="69"/>
      <c r="G81" s="69"/>
      <c r="H81" s="69"/>
      <c r="I81" s="69"/>
      <c r="J81" s="69"/>
      <c r="K81" s="69"/>
      <c r="L81" s="69"/>
      <c r="M81" s="69"/>
      <c r="N81" s="69"/>
      <c r="O81" s="69"/>
      <c r="P81" s="69"/>
      <c r="Q81" s="69"/>
      <c r="R81" s="69"/>
      <c r="S81" s="69"/>
      <c r="T81" s="69"/>
      <c r="U81" s="69"/>
      <c r="V81" s="69"/>
      <c r="W81" s="69"/>
      <c r="X81" s="69"/>
      <c r="Y81" s="69"/>
      <c r="Z81" s="69"/>
      <c r="AA81" s="69"/>
      <c r="AB81" s="69"/>
      <c r="AC81" s="69"/>
      <c r="AD81" s="69"/>
      <c r="AE81" s="69"/>
      <c r="AF81" s="69"/>
      <c r="AG81" s="69"/>
      <c r="AH81" s="69"/>
      <c r="AI81" s="69"/>
      <c r="AJ81" s="69"/>
      <c r="AK81" s="69"/>
      <c r="AL81" s="69"/>
      <c r="AM81" s="69"/>
      <c r="AN81" s="69"/>
      <c r="AO81" s="69"/>
      <c r="AP81" s="69"/>
      <c r="AQ81" s="69"/>
      <c r="AR81" s="69"/>
      <c r="AS81" s="69"/>
      <c r="AT81" s="69"/>
      <c r="AU81" s="69"/>
      <c r="AV81" s="69"/>
      <c r="AW81" s="69"/>
      <c r="AX81" s="69"/>
      <c r="AY81" s="69"/>
      <c r="AZ81" s="69"/>
      <c r="BA81" s="69"/>
    </row>
    <row r="82" customFormat="false" ht="15" hidden="false" customHeight="false" outlineLevel="0" collapsed="false">
      <c r="B82" s="69"/>
      <c r="C82" s="69"/>
      <c r="D82" s="69"/>
      <c r="E82" s="69"/>
      <c r="F82" s="69"/>
      <c r="G82" s="69"/>
      <c r="H82" s="69"/>
      <c r="I82" s="69"/>
      <c r="J82" s="69"/>
      <c r="K82" s="69"/>
      <c r="L82" s="69"/>
      <c r="M82" s="69"/>
      <c r="N82" s="69"/>
      <c r="O82" s="69"/>
      <c r="P82" s="69"/>
      <c r="Q82" s="69"/>
      <c r="R82" s="69"/>
      <c r="S82" s="69"/>
      <c r="T82" s="69"/>
      <c r="U82" s="69"/>
      <c r="V82" s="69"/>
      <c r="W82" s="69"/>
      <c r="X82" s="69"/>
      <c r="Y82" s="69"/>
      <c r="Z82" s="69"/>
      <c r="AA82" s="69"/>
      <c r="AB82" s="69"/>
      <c r="AC82" s="69"/>
      <c r="AD82" s="69"/>
      <c r="AE82" s="69"/>
      <c r="AF82" s="69"/>
      <c r="AG82" s="69"/>
      <c r="AH82" s="69"/>
      <c r="AI82" s="69"/>
      <c r="AJ82" s="69"/>
      <c r="AK82" s="69"/>
      <c r="AL82" s="69"/>
      <c r="AM82" s="69"/>
      <c r="AN82" s="69"/>
      <c r="AO82" s="69"/>
      <c r="AP82" s="69"/>
      <c r="AQ82" s="69"/>
      <c r="AR82" s="69"/>
      <c r="AS82" s="69"/>
      <c r="AT82" s="69"/>
      <c r="AU82" s="69"/>
      <c r="AV82" s="69"/>
      <c r="AW82" s="69"/>
      <c r="AX82" s="69"/>
      <c r="AY82" s="69"/>
      <c r="AZ82" s="69"/>
      <c r="BA82" s="69"/>
    </row>
    <row r="83" customFormat="false" ht="15" hidden="false" customHeight="false" outlineLevel="0" collapsed="false">
      <c r="B83" s="69"/>
      <c r="C83" s="69"/>
      <c r="D83" s="69"/>
      <c r="E83" s="69"/>
      <c r="F83" s="69"/>
      <c r="G83" s="69"/>
      <c r="H83" s="69"/>
      <c r="I83" s="69"/>
      <c r="J83" s="69"/>
      <c r="K83" s="69"/>
      <c r="L83" s="69"/>
      <c r="M83" s="69"/>
      <c r="N83" s="69"/>
      <c r="O83" s="69"/>
      <c r="P83" s="69"/>
      <c r="Q83" s="69"/>
      <c r="R83" s="69"/>
      <c r="S83" s="69"/>
      <c r="T83" s="69"/>
      <c r="U83" s="69"/>
      <c r="V83" s="69"/>
      <c r="W83" s="69"/>
      <c r="X83" s="69"/>
      <c r="Y83" s="69"/>
      <c r="Z83" s="69"/>
      <c r="AA83" s="69"/>
      <c r="AB83" s="69"/>
      <c r="AC83" s="69"/>
      <c r="AD83" s="69"/>
      <c r="AE83" s="69"/>
      <c r="AF83" s="69"/>
      <c r="AG83" s="69"/>
      <c r="AH83" s="69"/>
      <c r="AI83" s="69"/>
      <c r="AJ83" s="69"/>
      <c r="AK83" s="69"/>
      <c r="AL83" s="69"/>
      <c r="AM83" s="69"/>
      <c r="AN83" s="69"/>
      <c r="AO83" s="69"/>
      <c r="AP83" s="69"/>
      <c r="AQ83" s="69"/>
      <c r="AR83" s="69"/>
      <c r="AS83" s="69"/>
      <c r="AT83" s="69"/>
      <c r="AU83" s="69"/>
      <c r="AV83" s="69"/>
      <c r="AW83" s="69"/>
      <c r="AX83" s="69"/>
      <c r="AY83" s="69"/>
      <c r="AZ83" s="69"/>
      <c r="BA83" s="69"/>
    </row>
    <row r="84" customFormat="false" ht="15" hidden="false" customHeight="false" outlineLevel="0" collapsed="false">
      <c r="B84" s="69"/>
      <c r="C84" s="69"/>
      <c r="D84" s="69"/>
      <c r="E84" s="69"/>
      <c r="F84" s="69"/>
      <c r="G84" s="69"/>
      <c r="H84" s="69"/>
      <c r="I84" s="69"/>
      <c r="J84" s="69"/>
      <c r="K84" s="69"/>
      <c r="L84" s="69"/>
      <c r="M84" s="69"/>
      <c r="N84" s="69"/>
      <c r="O84" s="69"/>
      <c r="P84" s="69"/>
      <c r="Q84" s="69"/>
      <c r="R84" s="69"/>
      <c r="S84" s="69"/>
      <c r="T84" s="69"/>
      <c r="U84" s="69"/>
      <c r="V84" s="69"/>
      <c r="W84" s="69"/>
      <c r="X84" s="69"/>
      <c r="Y84" s="69"/>
      <c r="Z84" s="69"/>
      <c r="AA84" s="69"/>
      <c r="AB84" s="69"/>
      <c r="AC84" s="69"/>
      <c r="AD84" s="69"/>
      <c r="AE84" s="69"/>
      <c r="AF84" s="69"/>
      <c r="AG84" s="69"/>
      <c r="AH84" s="69"/>
      <c r="AI84" s="69"/>
      <c r="AJ84" s="69"/>
      <c r="AK84" s="69"/>
      <c r="AL84" s="69"/>
      <c r="AM84" s="69"/>
      <c r="AN84" s="69"/>
      <c r="AO84" s="69"/>
      <c r="AP84" s="69"/>
      <c r="AQ84" s="69"/>
      <c r="AR84" s="69"/>
      <c r="AS84" s="69"/>
      <c r="AT84" s="69"/>
      <c r="AU84" s="69"/>
      <c r="AV84" s="69"/>
      <c r="AW84" s="69"/>
      <c r="AX84" s="69"/>
      <c r="AY84" s="69"/>
      <c r="AZ84" s="69"/>
      <c r="BA84" s="69"/>
    </row>
    <row r="85" customFormat="false" ht="15" hidden="false" customHeight="false" outlineLevel="0" collapsed="false">
      <c r="B85" s="69"/>
      <c r="C85" s="69"/>
      <c r="D85" s="69"/>
      <c r="E85" s="69"/>
      <c r="F85" s="69"/>
      <c r="G85" s="69"/>
      <c r="H85" s="69"/>
      <c r="I85" s="69"/>
      <c r="J85" s="69"/>
      <c r="K85" s="69"/>
      <c r="L85" s="69"/>
      <c r="M85" s="69"/>
      <c r="N85" s="69"/>
      <c r="O85" s="69"/>
      <c r="P85" s="69"/>
      <c r="Q85" s="69"/>
      <c r="R85" s="69"/>
      <c r="S85" s="69"/>
      <c r="T85" s="69"/>
      <c r="U85" s="69"/>
      <c r="V85" s="69"/>
      <c r="W85" s="69"/>
      <c r="X85" s="69"/>
      <c r="Y85" s="69"/>
      <c r="Z85" s="69"/>
      <c r="AA85" s="69"/>
      <c r="AB85" s="69"/>
      <c r="AC85" s="69"/>
      <c r="AD85" s="69"/>
      <c r="AE85" s="69"/>
      <c r="AF85" s="69"/>
      <c r="AG85" s="69"/>
      <c r="AH85" s="69"/>
      <c r="AI85" s="69"/>
      <c r="AJ85" s="69"/>
      <c r="AK85" s="69"/>
      <c r="AL85" s="69"/>
      <c r="AM85" s="69"/>
      <c r="AN85" s="69"/>
      <c r="AO85" s="69"/>
      <c r="AP85" s="69"/>
      <c r="AQ85" s="69"/>
      <c r="AR85" s="69"/>
      <c r="AS85" s="69"/>
      <c r="AT85" s="69"/>
      <c r="AU85" s="69"/>
      <c r="AV85" s="69"/>
      <c r="AW85" s="69"/>
      <c r="AX85" s="69"/>
      <c r="AY85" s="69"/>
      <c r="AZ85" s="69"/>
      <c r="BA85" s="69"/>
    </row>
    <row r="86" customFormat="false" ht="15" hidden="false" customHeight="false" outlineLevel="0" collapsed="false">
      <c r="B86" s="69"/>
      <c r="C86" s="69"/>
      <c r="D86" s="69"/>
      <c r="E86" s="69"/>
      <c r="F86" s="69"/>
      <c r="G86" s="69"/>
      <c r="H86" s="69"/>
      <c r="I86" s="69"/>
      <c r="J86" s="69"/>
      <c r="K86" s="69"/>
      <c r="L86" s="69"/>
      <c r="M86" s="69"/>
      <c r="N86" s="69"/>
      <c r="O86" s="69"/>
      <c r="P86" s="69"/>
      <c r="Q86" s="69"/>
      <c r="R86" s="69"/>
      <c r="S86" s="69"/>
      <c r="T86" s="69"/>
      <c r="U86" s="69"/>
      <c r="V86" s="69"/>
      <c r="W86" s="69"/>
      <c r="X86" s="69"/>
      <c r="Y86" s="69"/>
      <c r="Z86" s="69"/>
      <c r="AA86" s="69"/>
      <c r="AB86" s="69"/>
      <c r="AC86" s="69"/>
      <c r="AD86" s="69"/>
      <c r="AE86" s="69"/>
      <c r="AF86" s="69"/>
      <c r="AG86" s="69"/>
      <c r="AH86" s="69"/>
      <c r="AI86" s="69"/>
      <c r="AJ86" s="69"/>
      <c r="AK86" s="69"/>
      <c r="AL86" s="69"/>
      <c r="AM86" s="69"/>
      <c r="AN86" s="69"/>
      <c r="AO86" s="69"/>
      <c r="AP86" s="69"/>
      <c r="AQ86" s="69"/>
      <c r="AR86" s="69"/>
      <c r="AS86" s="69"/>
      <c r="AT86" s="69"/>
      <c r="AU86" s="69"/>
      <c r="AV86" s="69"/>
      <c r="AW86" s="69"/>
      <c r="AX86" s="69"/>
      <c r="AY86" s="69"/>
      <c r="AZ86" s="69"/>
      <c r="BA86" s="69"/>
    </row>
    <row r="87" customFormat="false" ht="15" hidden="false" customHeight="false" outlineLevel="0" collapsed="false">
      <c r="B87" s="69"/>
      <c r="C87" s="69"/>
      <c r="D87" s="69"/>
      <c r="E87" s="69"/>
      <c r="F87" s="69"/>
      <c r="G87" s="69"/>
      <c r="H87" s="69"/>
      <c r="I87" s="69"/>
      <c r="J87" s="69"/>
      <c r="K87" s="69"/>
      <c r="L87" s="69"/>
      <c r="M87" s="69"/>
      <c r="N87" s="69"/>
      <c r="O87" s="69"/>
      <c r="P87" s="69"/>
      <c r="Q87" s="69"/>
      <c r="R87" s="69"/>
      <c r="S87" s="69"/>
      <c r="T87" s="69"/>
      <c r="U87" s="69"/>
      <c r="V87" s="69"/>
      <c r="W87" s="69"/>
      <c r="X87" s="69"/>
      <c r="Y87" s="69"/>
      <c r="Z87" s="69"/>
      <c r="AA87" s="69"/>
      <c r="AB87" s="69"/>
      <c r="AC87" s="69"/>
      <c r="AD87" s="69"/>
      <c r="AE87" s="69"/>
      <c r="AF87" s="69"/>
      <c r="AG87" s="69"/>
      <c r="AH87" s="69"/>
      <c r="AI87" s="69"/>
      <c r="AJ87" s="69"/>
      <c r="AK87" s="69"/>
      <c r="AL87" s="69"/>
      <c r="AM87" s="69"/>
      <c r="AN87" s="69"/>
      <c r="AO87" s="69"/>
      <c r="AP87" s="69"/>
      <c r="AQ87" s="69"/>
      <c r="AR87" s="69"/>
      <c r="AS87" s="69"/>
      <c r="AT87" s="69"/>
      <c r="AU87" s="69"/>
      <c r="AV87" s="69"/>
      <c r="AW87" s="69"/>
      <c r="AX87" s="69"/>
      <c r="AY87" s="69"/>
      <c r="AZ87" s="69"/>
      <c r="BA87" s="69"/>
    </row>
    <row r="88" customFormat="false" ht="15" hidden="false" customHeight="false" outlineLevel="0" collapsed="false">
      <c r="B88" s="69"/>
      <c r="C88" s="69"/>
      <c r="D88" s="69"/>
      <c r="E88" s="69"/>
      <c r="F88" s="69"/>
      <c r="G88" s="69"/>
      <c r="H88" s="69"/>
      <c r="I88" s="69"/>
      <c r="J88" s="69"/>
      <c r="K88" s="69"/>
      <c r="L88" s="69"/>
      <c r="M88" s="69"/>
      <c r="N88" s="69"/>
      <c r="O88" s="69"/>
      <c r="P88" s="69"/>
      <c r="Q88" s="69"/>
      <c r="R88" s="69"/>
      <c r="S88" s="69"/>
      <c r="T88" s="69"/>
      <c r="U88" s="69"/>
      <c r="V88" s="69"/>
      <c r="W88" s="69"/>
      <c r="X88" s="69"/>
      <c r="Y88" s="69"/>
      <c r="Z88" s="69"/>
      <c r="AA88" s="69"/>
      <c r="AB88" s="69"/>
      <c r="AC88" s="69"/>
      <c r="AD88" s="69"/>
      <c r="AE88" s="69"/>
      <c r="AF88" s="69"/>
      <c r="AG88" s="69"/>
      <c r="AH88" s="69"/>
      <c r="AI88" s="69"/>
      <c r="AJ88" s="69"/>
      <c r="AK88" s="69"/>
      <c r="AL88" s="69"/>
      <c r="AM88" s="69"/>
      <c r="AN88" s="69"/>
      <c r="AO88" s="69"/>
      <c r="AP88" s="69"/>
      <c r="AQ88" s="69"/>
      <c r="AR88" s="69"/>
      <c r="AS88" s="69"/>
      <c r="AT88" s="69"/>
      <c r="AU88" s="69"/>
      <c r="AV88" s="69"/>
      <c r="AW88" s="69"/>
      <c r="AX88" s="69"/>
      <c r="AY88" s="69"/>
      <c r="AZ88" s="69"/>
      <c r="BA88" s="69"/>
      <c r="BB88" s="69"/>
      <c r="BC88" s="69"/>
      <c r="BD88" s="69"/>
      <c r="BE88" s="69"/>
      <c r="BF88" s="69"/>
      <c r="BG88" s="69"/>
      <c r="BH88" s="69"/>
      <c r="BI88" s="69"/>
      <c r="BJ88" s="69"/>
      <c r="BK88" s="69"/>
      <c r="BL88" s="69"/>
      <c r="BM88" s="69"/>
    </row>
    <row r="89" customFormat="false" ht="15" hidden="false" customHeight="false" outlineLevel="0" collapsed="false">
      <c r="B89" s="69"/>
      <c r="C89" s="69"/>
      <c r="D89" s="69"/>
      <c r="E89" s="69"/>
      <c r="F89" s="69"/>
      <c r="G89" s="69"/>
      <c r="H89" s="69"/>
      <c r="I89" s="69"/>
      <c r="J89" s="69"/>
      <c r="K89" s="69"/>
      <c r="L89" s="69"/>
      <c r="M89" s="69"/>
      <c r="N89" s="69"/>
      <c r="O89" s="69"/>
      <c r="P89" s="69"/>
      <c r="Q89" s="69"/>
      <c r="R89" s="69"/>
      <c r="S89" s="69"/>
      <c r="T89" s="69"/>
      <c r="U89" s="69"/>
      <c r="V89" s="69"/>
      <c r="W89" s="69"/>
      <c r="X89" s="69"/>
      <c r="Y89" s="69"/>
      <c r="Z89" s="69"/>
      <c r="AA89" s="69"/>
      <c r="AB89" s="69"/>
      <c r="AC89" s="69"/>
      <c r="AD89" s="69"/>
      <c r="AE89" s="69"/>
      <c r="AF89" s="69"/>
      <c r="AG89" s="69"/>
      <c r="AH89" s="69"/>
      <c r="AI89" s="69"/>
      <c r="AJ89" s="69"/>
      <c r="AK89" s="69"/>
      <c r="AL89" s="69"/>
      <c r="AM89" s="69"/>
      <c r="AN89" s="69"/>
      <c r="AO89" s="69"/>
      <c r="AP89" s="69"/>
      <c r="AQ89" s="69"/>
      <c r="AR89" s="69"/>
      <c r="AS89" s="69"/>
      <c r="AT89" s="69"/>
      <c r="AU89" s="69"/>
      <c r="AV89" s="69"/>
      <c r="AW89" s="69"/>
      <c r="AX89" s="69"/>
      <c r="AY89" s="69"/>
      <c r="AZ89" s="69"/>
      <c r="BA89" s="69"/>
      <c r="BB89" s="69"/>
      <c r="BC89" s="69"/>
      <c r="BD89" s="69"/>
      <c r="BE89" s="69"/>
      <c r="BF89" s="69"/>
      <c r="BG89" s="69"/>
      <c r="BH89" s="69"/>
      <c r="BI89" s="69"/>
      <c r="BJ89" s="69"/>
      <c r="BK89" s="69"/>
      <c r="BL89" s="69"/>
      <c r="BM89" s="69"/>
    </row>
    <row r="90" customFormat="false" ht="15" hidden="false" customHeight="false" outlineLevel="0" collapsed="false">
      <c r="B90" s="69"/>
      <c r="C90" s="69"/>
      <c r="D90" s="69"/>
      <c r="E90" s="69"/>
      <c r="F90" s="69"/>
      <c r="G90" s="69"/>
      <c r="H90" s="69"/>
      <c r="I90" s="69"/>
      <c r="J90" s="69"/>
      <c r="K90" s="69"/>
      <c r="L90" s="69"/>
      <c r="M90" s="69"/>
      <c r="N90" s="69"/>
      <c r="O90" s="69"/>
      <c r="P90" s="69"/>
      <c r="Q90" s="69"/>
      <c r="R90" s="69"/>
      <c r="S90" s="69"/>
      <c r="T90" s="69"/>
      <c r="U90" s="69"/>
      <c r="V90" s="69"/>
      <c r="W90" s="69"/>
      <c r="X90" s="69"/>
      <c r="Y90" s="69"/>
      <c r="Z90" s="69"/>
      <c r="AA90" s="69"/>
      <c r="AB90" s="69"/>
      <c r="AC90" s="69"/>
      <c r="AD90" s="69"/>
      <c r="AE90" s="69"/>
      <c r="AF90" s="69"/>
      <c r="AG90" s="69"/>
      <c r="AH90" s="69"/>
      <c r="AI90" s="69"/>
      <c r="AJ90" s="69"/>
      <c r="AK90" s="69"/>
      <c r="AL90" s="69"/>
      <c r="AM90" s="69"/>
      <c r="AN90" s="69"/>
      <c r="AO90" s="69"/>
      <c r="AP90" s="69"/>
      <c r="AQ90" s="69"/>
      <c r="AR90" s="69"/>
      <c r="AS90" s="69"/>
      <c r="AT90" s="69"/>
      <c r="AU90" s="69"/>
      <c r="AV90" s="69"/>
      <c r="AW90" s="69"/>
      <c r="AX90" s="69"/>
      <c r="AY90" s="69"/>
      <c r="AZ90" s="69"/>
      <c r="BA90" s="69"/>
      <c r="BB90" s="69"/>
      <c r="BC90" s="69"/>
      <c r="BD90" s="69"/>
      <c r="BE90" s="69"/>
      <c r="BF90" s="69"/>
      <c r="BG90" s="69"/>
      <c r="BH90" s="69"/>
      <c r="BI90" s="69"/>
      <c r="BJ90" s="69"/>
      <c r="BK90" s="69"/>
      <c r="BL90" s="69"/>
      <c r="BM90" s="69"/>
    </row>
    <row r="91" customFormat="false" ht="15" hidden="false" customHeight="false" outlineLevel="0" collapsed="false">
      <c r="B91" s="69"/>
      <c r="C91" s="69"/>
      <c r="D91" s="69"/>
      <c r="E91" s="69"/>
      <c r="F91" s="69"/>
      <c r="G91" s="69"/>
      <c r="H91" s="69"/>
      <c r="I91" s="69"/>
      <c r="J91" s="69"/>
      <c r="K91" s="69"/>
      <c r="L91" s="69"/>
      <c r="M91" s="69"/>
      <c r="N91" s="69"/>
      <c r="O91" s="69"/>
      <c r="P91" s="69"/>
      <c r="Q91" s="69"/>
      <c r="R91" s="69"/>
      <c r="S91" s="69"/>
      <c r="T91" s="69"/>
      <c r="U91" s="69"/>
      <c r="V91" s="69"/>
      <c r="W91" s="69"/>
      <c r="X91" s="69"/>
      <c r="Y91" s="69"/>
      <c r="Z91" s="69"/>
      <c r="AA91" s="69"/>
      <c r="AB91" s="69"/>
      <c r="AC91" s="69"/>
      <c r="AD91" s="69"/>
      <c r="AE91" s="69"/>
      <c r="AF91" s="69"/>
      <c r="AG91" s="69"/>
      <c r="AH91" s="69"/>
      <c r="AI91" s="69"/>
      <c r="AJ91" s="69"/>
      <c r="AK91" s="69"/>
      <c r="AL91" s="69"/>
      <c r="AM91" s="69"/>
      <c r="AN91" s="69"/>
      <c r="AO91" s="69"/>
      <c r="AP91" s="69"/>
      <c r="AQ91" s="69"/>
      <c r="AR91" s="69"/>
      <c r="AS91" s="69"/>
      <c r="AT91" s="69"/>
      <c r="AU91" s="69"/>
      <c r="AV91" s="69"/>
      <c r="AW91" s="69"/>
      <c r="AX91" s="69"/>
      <c r="AY91" s="69"/>
      <c r="AZ91" s="69"/>
      <c r="BA91" s="69"/>
      <c r="BB91" s="69"/>
      <c r="BC91" s="69"/>
      <c r="BD91" s="69"/>
      <c r="BE91" s="69"/>
      <c r="BF91" s="69"/>
      <c r="BG91" s="69"/>
      <c r="BH91" s="69"/>
      <c r="BI91" s="69"/>
      <c r="BJ91" s="69"/>
      <c r="BK91" s="69"/>
      <c r="BL91" s="69"/>
      <c r="BM91" s="69"/>
    </row>
    <row r="92" customFormat="false" ht="15" hidden="false" customHeight="false" outlineLevel="0" collapsed="false">
      <c r="B92" s="69"/>
      <c r="C92" s="69"/>
      <c r="D92" s="69"/>
      <c r="E92" s="69"/>
      <c r="F92" s="69"/>
      <c r="G92" s="69"/>
      <c r="H92" s="69"/>
      <c r="I92" s="69"/>
      <c r="J92" s="69"/>
      <c r="K92" s="69"/>
      <c r="L92" s="69"/>
      <c r="M92" s="69"/>
      <c r="N92" s="69"/>
      <c r="O92" s="69"/>
      <c r="P92" s="69"/>
      <c r="Q92" s="69"/>
      <c r="R92" s="69"/>
      <c r="S92" s="69"/>
      <c r="T92" s="69"/>
      <c r="U92" s="69"/>
      <c r="V92" s="69"/>
      <c r="W92" s="69"/>
      <c r="X92" s="69"/>
      <c r="Y92" s="69"/>
      <c r="Z92" s="69"/>
      <c r="AA92" s="69"/>
      <c r="AB92" s="69"/>
      <c r="AC92" s="69"/>
      <c r="AD92" s="69"/>
      <c r="AE92" s="69"/>
      <c r="AF92" s="69"/>
      <c r="AG92" s="69"/>
      <c r="AH92" s="69"/>
      <c r="AI92" s="69"/>
      <c r="AJ92" s="69"/>
      <c r="AK92" s="69"/>
      <c r="AL92" s="69"/>
      <c r="AM92" s="69"/>
      <c r="AN92" s="69"/>
      <c r="AO92" s="69"/>
      <c r="AP92" s="69"/>
      <c r="AQ92" s="69"/>
      <c r="AR92" s="69"/>
      <c r="AS92" s="69"/>
      <c r="AT92" s="69"/>
      <c r="AU92" s="69"/>
      <c r="AV92" s="69"/>
      <c r="AW92" s="69"/>
      <c r="AX92" s="69"/>
      <c r="AY92" s="69"/>
      <c r="AZ92" s="69"/>
      <c r="BA92" s="69"/>
      <c r="BB92" s="69"/>
      <c r="BC92" s="69"/>
      <c r="BD92" s="69"/>
      <c r="BE92" s="69"/>
      <c r="BF92" s="69"/>
      <c r="BG92" s="69"/>
      <c r="BH92" s="69"/>
      <c r="BI92" s="69"/>
      <c r="BJ92" s="69"/>
      <c r="BK92" s="69"/>
      <c r="BL92" s="69"/>
      <c r="BM92" s="69"/>
    </row>
    <row r="93" customFormat="false" ht="15" hidden="false" customHeight="false" outlineLevel="0" collapsed="false">
      <c r="B93" s="69"/>
      <c r="C93" s="69"/>
      <c r="D93" s="69"/>
      <c r="E93" s="69"/>
      <c r="F93" s="69"/>
      <c r="G93" s="69"/>
      <c r="H93" s="69"/>
      <c r="I93" s="69"/>
      <c r="J93" s="69"/>
      <c r="K93" s="69"/>
      <c r="L93" s="69"/>
      <c r="M93" s="69"/>
      <c r="N93" s="69"/>
      <c r="O93" s="69"/>
      <c r="P93" s="69"/>
      <c r="Q93" s="69"/>
      <c r="R93" s="69"/>
      <c r="S93" s="69"/>
      <c r="T93" s="69"/>
      <c r="U93" s="69"/>
      <c r="V93" s="69"/>
      <c r="W93" s="69"/>
      <c r="X93" s="69"/>
      <c r="Y93" s="69"/>
      <c r="Z93" s="69"/>
      <c r="AA93" s="69"/>
      <c r="AB93" s="69"/>
      <c r="AC93" s="69"/>
      <c r="AD93" s="69"/>
      <c r="AE93" s="69"/>
      <c r="AF93" s="69"/>
      <c r="AG93" s="69"/>
      <c r="AH93" s="69"/>
      <c r="AI93" s="69"/>
      <c r="AJ93" s="69"/>
      <c r="AK93" s="69"/>
      <c r="AL93" s="69"/>
      <c r="AM93" s="69"/>
      <c r="AN93" s="69"/>
      <c r="AO93" s="69"/>
      <c r="AP93" s="69"/>
      <c r="AQ93" s="69"/>
      <c r="AR93" s="69"/>
      <c r="AS93" s="69"/>
      <c r="AT93" s="69"/>
      <c r="AU93" s="69"/>
      <c r="AV93" s="69"/>
      <c r="AW93" s="69"/>
      <c r="AX93" s="69"/>
      <c r="AY93" s="69"/>
      <c r="AZ93" s="69"/>
      <c r="BA93" s="69"/>
      <c r="BB93" s="69"/>
      <c r="BC93" s="69"/>
      <c r="BD93" s="69"/>
      <c r="BE93" s="69"/>
      <c r="BF93" s="69"/>
      <c r="BG93" s="69"/>
      <c r="BH93" s="69"/>
      <c r="BI93" s="69"/>
      <c r="BJ93" s="69"/>
      <c r="BK93" s="69"/>
      <c r="BL93" s="69"/>
      <c r="BM93" s="69"/>
    </row>
    <row r="94" customFormat="false" ht="15" hidden="false" customHeight="false" outlineLevel="0" collapsed="false">
      <c r="B94" s="69"/>
      <c r="C94" s="69"/>
      <c r="D94" s="69"/>
      <c r="E94" s="69"/>
      <c r="F94" s="69"/>
      <c r="G94" s="69"/>
      <c r="H94" s="69"/>
      <c r="I94" s="69"/>
      <c r="J94" s="69"/>
      <c r="K94" s="69"/>
      <c r="L94" s="69"/>
      <c r="M94" s="69"/>
      <c r="N94" s="69"/>
      <c r="O94" s="69"/>
      <c r="P94" s="69"/>
      <c r="Q94" s="69"/>
      <c r="R94" s="69"/>
      <c r="S94" s="69"/>
      <c r="T94" s="69"/>
      <c r="U94" s="69"/>
      <c r="V94" s="69"/>
      <c r="W94" s="69"/>
      <c r="X94" s="69"/>
      <c r="Y94" s="69"/>
      <c r="Z94" s="69"/>
      <c r="AA94" s="69"/>
      <c r="AB94" s="69"/>
      <c r="AC94" s="69"/>
      <c r="AD94" s="69"/>
      <c r="AE94" s="69"/>
      <c r="AF94" s="69"/>
      <c r="AG94" s="69"/>
      <c r="AH94" s="69"/>
      <c r="AI94" s="69"/>
      <c r="AJ94" s="69"/>
      <c r="AK94" s="69"/>
      <c r="AL94" s="69"/>
      <c r="AM94" s="69"/>
      <c r="AN94" s="69"/>
      <c r="AO94" s="69"/>
      <c r="AP94" s="69"/>
      <c r="AQ94" s="69"/>
      <c r="AR94" s="69"/>
      <c r="AS94" s="69"/>
      <c r="AT94" s="69"/>
      <c r="AU94" s="69"/>
      <c r="AV94" s="69"/>
      <c r="AW94" s="69"/>
      <c r="AX94" s="69"/>
      <c r="AY94" s="69"/>
      <c r="AZ94" s="69"/>
      <c r="BA94" s="69"/>
      <c r="BB94" s="69"/>
      <c r="BC94" s="69"/>
      <c r="BD94" s="69"/>
      <c r="BE94" s="69"/>
      <c r="BF94" s="69"/>
      <c r="BG94" s="69"/>
      <c r="BH94" s="69"/>
      <c r="BI94" s="69"/>
      <c r="BJ94" s="69"/>
      <c r="BK94" s="69"/>
      <c r="BL94" s="69"/>
      <c r="BM94" s="69"/>
    </row>
    <row r="95" customFormat="false" ht="15" hidden="false" customHeight="false" outlineLevel="0" collapsed="false">
      <c r="B95" s="69"/>
      <c r="C95" s="69"/>
      <c r="D95" s="69"/>
      <c r="E95" s="69"/>
      <c r="F95" s="69"/>
      <c r="G95" s="69"/>
      <c r="H95" s="69"/>
      <c r="I95" s="69"/>
      <c r="J95" s="69"/>
      <c r="K95" s="69"/>
      <c r="L95" s="69"/>
      <c r="M95" s="69"/>
      <c r="N95" s="69"/>
      <c r="O95" s="69"/>
      <c r="P95" s="69"/>
      <c r="Q95" s="69"/>
      <c r="R95" s="69"/>
      <c r="S95" s="69"/>
      <c r="T95" s="69"/>
      <c r="U95" s="69"/>
      <c r="V95" s="69"/>
      <c r="W95" s="69"/>
      <c r="X95" s="69"/>
      <c r="Y95" s="69"/>
      <c r="Z95" s="69"/>
      <c r="AA95" s="69"/>
      <c r="AB95" s="69"/>
      <c r="AC95" s="69"/>
      <c r="AD95" s="69"/>
      <c r="AE95" s="69"/>
      <c r="AF95" s="69"/>
      <c r="AG95" s="69"/>
      <c r="AH95" s="69"/>
      <c r="AI95" s="69"/>
      <c r="AJ95" s="69"/>
      <c r="AK95" s="69"/>
      <c r="AL95" s="69"/>
      <c r="AM95" s="69"/>
      <c r="AN95" s="69"/>
      <c r="AO95" s="69"/>
      <c r="AP95" s="69"/>
      <c r="AQ95" s="69"/>
      <c r="AR95" s="69"/>
      <c r="AS95" s="69"/>
      <c r="AT95" s="69"/>
      <c r="AU95" s="69"/>
      <c r="AV95" s="69"/>
      <c r="AW95" s="69"/>
      <c r="AX95" s="69"/>
      <c r="AY95" s="69"/>
      <c r="AZ95" s="69"/>
      <c r="BA95" s="69"/>
      <c r="BB95" s="69"/>
      <c r="BC95" s="69"/>
      <c r="BD95" s="69"/>
      <c r="BE95" s="69"/>
      <c r="BF95" s="69"/>
      <c r="BG95" s="69"/>
      <c r="BH95" s="69"/>
      <c r="BI95" s="69"/>
      <c r="BJ95" s="69"/>
      <c r="BK95" s="69"/>
      <c r="BL95" s="69"/>
      <c r="BM95" s="69"/>
    </row>
    <row r="96" customFormat="false" ht="15" hidden="false" customHeight="false" outlineLevel="0" collapsed="false">
      <c r="B96" s="69"/>
      <c r="C96" s="69"/>
      <c r="D96" s="69"/>
      <c r="E96" s="69"/>
      <c r="F96" s="69"/>
      <c r="G96" s="69"/>
      <c r="H96" s="69"/>
      <c r="I96" s="69"/>
      <c r="J96" s="69"/>
      <c r="K96" s="69"/>
      <c r="L96" s="69"/>
      <c r="M96" s="69"/>
      <c r="N96" s="69"/>
      <c r="O96" s="69"/>
      <c r="P96" s="69"/>
      <c r="Q96" s="69"/>
      <c r="R96" s="69"/>
      <c r="S96" s="69"/>
      <c r="T96" s="69"/>
      <c r="U96" s="69"/>
      <c r="V96" s="69"/>
      <c r="W96" s="69"/>
      <c r="X96" s="69"/>
      <c r="Y96" s="69"/>
      <c r="Z96" s="69"/>
      <c r="AA96" s="69"/>
      <c r="AB96" s="69"/>
      <c r="AC96" s="69"/>
      <c r="AD96" s="69"/>
      <c r="AE96" s="69"/>
      <c r="AF96" s="69"/>
      <c r="AG96" s="69"/>
      <c r="AH96" s="69"/>
      <c r="AI96" s="69"/>
      <c r="AJ96" s="69"/>
      <c r="AK96" s="69"/>
      <c r="AL96" s="69"/>
      <c r="AM96" s="69"/>
      <c r="AN96" s="69"/>
      <c r="AO96" s="69"/>
      <c r="AP96" s="69"/>
      <c r="AQ96" s="69"/>
      <c r="AR96" s="69"/>
      <c r="AS96" s="69"/>
      <c r="AT96" s="69"/>
      <c r="AU96" s="69"/>
      <c r="AV96" s="69"/>
      <c r="AW96" s="69"/>
      <c r="AX96" s="69"/>
      <c r="AY96" s="69"/>
      <c r="AZ96" s="69"/>
      <c r="BA96" s="69"/>
      <c r="BB96" s="69"/>
      <c r="BC96" s="69"/>
      <c r="BD96" s="69"/>
      <c r="BE96" s="69"/>
      <c r="BF96" s="69"/>
      <c r="BG96" s="69"/>
      <c r="BH96" s="69"/>
      <c r="BI96" s="69"/>
      <c r="BJ96" s="69"/>
      <c r="BK96" s="69"/>
      <c r="BL96" s="69"/>
      <c r="BM96" s="69"/>
    </row>
    <row r="97" customFormat="false" ht="15" hidden="false" customHeight="false" outlineLevel="0" collapsed="false">
      <c r="B97" s="69"/>
      <c r="C97" s="69"/>
      <c r="D97" s="69"/>
      <c r="E97" s="69"/>
      <c r="F97" s="69"/>
      <c r="G97" s="69"/>
      <c r="H97" s="69"/>
      <c r="I97" s="69"/>
      <c r="J97" s="69"/>
      <c r="K97" s="69"/>
      <c r="L97" s="69"/>
      <c r="M97" s="69"/>
      <c r="N97" s="69"/>
      <c r="O97" s="69"/>
      <c r="P97" s="69"/>
      <c r="Q97" s="69"/>
      <c r="R97" s="69"/>
      <c r="S97" s="69"/>
      <c r="T97" s="69"/>
      <c r="U97" s="69"/>
      <c r="V97" s="69"/>
      <c r="W97" s="69"/>
      <c r="X97" s="69"/>
      <c r="Y97" s="69"/>
      <c r="Z97" s="69"/>
      <c r="AA97" s="69"/>
      <c r="AB97" s="69"/>
      <c r="AC97" s="69"/>
      <c r="AD97" s="69"/>
      <c r="AE97" s="69"/>
      <c r="AF97" s="69"/>
      <c r="AG97" s="69"/>
      <c r="AH97" s="69"/>
      <c r="AI97" s="69"/>
      <c r="AJ97" s="69"/>
      <c r="AK97" s="69"/>
      <c r="AL97" s="69"/>
      <c r="AM97" s="69"/>
      <c r="AN97" s="69"/>
      <c r="AO97" s="69"/>
      <c r="AP97" s="69"/>
      <c r="AQ97" s="69"/>
      <c r="AR97" s="69"/>
      <c r="AS97" s="69"/>
      <c r="AT97" s="69"/>
      <c r="AU97" s="69"/>
      <c r="AV97" s="69"/>
      <c r="AW97" s="69"/>
      <c r="AX97" s="69"/>
      <c r="AY97" s="69"/>
      <c r="AZ97" s="69"/>
      <c r="BA97" s="69"/>
      <c r="BB97" s="69"/>
      <c r="BC97" s="69"/>
      <c r="BD97" s="69"/>
      <c r="BE97" s="69"/>
      <c r="BF97" s="69"/>
      <c r="BG97" s="69"/>
      <c r="BH97" s="69"/>
      <c r="BI97" s="69"/>
      <c r="BJ97" s="69"/>
      <c r="BK97" s="69"/>
      <c r="BL97" s="69"/>
      <c r="BM97" s="69"/>
    </row>
    <row r="98" customFormat="false" ht="15" hidden="false" customHeight="false" outlineLevel="0" collapsed="false">
      <c r="B98" s="69"/>
      <c r="C98" s="69"/>
      <c r="D98" s="69"/>
      <c r="E98" s="69"/>
      <c r="F98" s="69"/>
      <c r="G98" s="69"/>
      <c r="H98" s="69"/>
      <c r="I98" s="69"/>
      <c r="J98" s="69"/>
      <c r="K98" s="69"/>
      <c r="L98" s="69"/>
      <c r="M98" s="69"/>
      <c r="N98" s="69"/>
      <c r="O98" s="69"/>
      <c r="P98" s="69"/>
      <c r="Q98" s="69"/>
      <c r="R98" s="69"/>
      <c r="S98" s="69"/>
      <c r="T98" s="69"/>
      <c r="U98" s="69"/>
      <c r="V98" s="69"/>
      <c r="W98" s="69"/>
      <c r="X98" s="69"/>
      <c r="Y98" s="69"/>
      <c r="Z98" s="69"/>
      <c r="AA98" s="69"/>
      <c r="AB98" s="69"/>
      <c r="AC98" s="69"/>
      <c r="AD98" s="69"/>
      <c r="AE98" s="69"/>
      <c r="AF98" s="69"/>
      <c r="AG98" s="69"/>
      <c r="AH98" s="69"/>
      <c r="AI98" s="69"/>
      <c r="AJ98" s="69"/>
      <c r="AK98" s="69"/>
      <c r="AL98" s="69"/>
      <c r="AM98" s="69"/>
      <c r="AN98" s="69"/>
      <c r="AO98" s="69"/>
      <c r="AP98" s="69"/>
      <c r="AQ98" s="69"/>
      <c r="AR98" s="69"/>
      <c r="AS98" s="69"/>
      <c r="AT98" s="69"/>
      <c r="AU98" s="69"/>
      <c r="AV98" s="69"/>
      <c r="AW98" s="69"/>
      <c r="AX98" s="69"/>
      <c r="AY98" s="69"/>
      <c r="AZ98" s="69"/>
      <c r="BA98" s="69"/>
      <c r="BB98" s="69"/>
      <c r="BC98" s="69"/>
      <c r="BD98" s="69"/>
      <c r="BE98" s="69"/>
      <c r="BF98" s="69"/>
      <c r="BG98" s="69"/>
      <c r="BH98" s="69"/>
      <c r="BI98" s="69"/>
      <c r="BJ98" s="69"/>
      <c r="BK98" s="69"/>
      <c r="BL98" s="69"/>
      <c r="BM98" s="69"/>
    </row>
    <row r="99" customFormat="false" ht="15" hidden="false" customHeight="false" outlineLevel="0" collapsed="false">
      <c r="B99" s="69"/>
      <c r="C99" s="69"/>
      <c r="D99" s="69"/>
      <c r="E99" s="69"/>
      <c r="F99" s="69"/>
      <c r="G99" s="69"/>
      <c r="H99" s="69"/>
      <c r="I99" s="69"/>
      <c r="J99" s="69"/>
      <c r="K99" s="69"/>
      <c r="L99" s="69"/>
      <c r="M99" s="69"/>
      <c r="N99" s="69"/>
      <c r="O99" s="69"/>
      <c r="P99" s="69"/>
      <c r="Q99" s="69"/>
      <c r="R99" s="69"/>
      <c r="S99" s="69"/>
      <c r="T99" s="69"/>
      <c r="U99" s="69"/>
      <c r="V99" s="69"/>
      <c r="W99" s="69"/>
      <c r="X99" s="69"/>
      <c r="Y99" s="69"/>
      <c r="Z99" s="69"/>
      <c r="AA99" s="69"/>
      <c r="AB99" s="69"/>
      <c r="AC99" s="69"/>
      <c r="AD99" s="69"/>
      <c r="AE99" s="69"/>
      <c r="AF99" s="69"/>
      <c r="AG99" s="69"/>
      <c r="AH99" s="69"/>
      <c r="AI99" s="69"/>
      <c r="AJ99" s="69"/>
      <c r="AK99" s="69"/>
      <c r="AL99" s="69"/>
      <c r="AM99" s="69"/>
      <c r="AN99" s="69"/>
      <c r="AO99" s="69"/>
      <c r="AP99" s="69"/>
      <c r="AQ99" s="69"/>
      <c r="AR99" s="69"/>
      <c r="AS99" s="69"/>
      <c r="AT99" s="69"/>
      <c r="AU99" s="69"/>
      <c r="AV99" s="69"/>
      <c r="AW99" s="69"/>
      <c r="AX99" s="69"/>
      <c r="AY99" s="69"/>
      <c r="AZ99" s="69"/>
      <c r="BA99" s="69"/>
      <c r="BB99" s="69"/>
      <c r="BC99" s="69"/>
      <c r="BD99" s="69"/>
      <c r="BE99" s="69"/>
      <c r="BF99" s="69"/>
      <c r="BG99" s="69"/>
      <c r="BH99" s="69"/>
      <c r="BI99" s="69"/>
      <c r="BJ99" s="69"/>
      <c r="BK99" s="69"/>
      <c r="BL99" s="69"/>
      <c r="BM99" s="69"/>
    </row>
    <row r="100" customFormat="false" ht="15" hidden="false" customHeight="false" outlineLevel="0" collapsed="false">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c r="AA100" s="69"/>
      <c r="AB100" s="69"/>
      <c r="AC100" s="69"/>
      <c r="AD100" s="69"/>
      <c r="AE100" s="69"/>
      <c r="AF100" s="69"/>
      <c r="AG100" s="69"/>
      <c r="AH100" s="69"/>
      <c r="AI100" s="69"/>
      <c r="AJ100" s="69"/>
      <c r="AK100" s="69"/>
      <c r="AL100" s="69"/>
      <c r="AM100" s="69"/>
      <c r="AN100" s="69"/>
      <c r="AO100" s="69"/>
      <c r="AP100" s="69"/>
      <c r="AQ100" s="69"/>
      <c r="AR100" s="69"/>
      <c r="AS100" s="69"/>
      <c r="AT100" s="69"/>
      <c r="AU100" s="69"/>
      <c r="AV100" s="69"/>
      <c r="AW100" s="69"/>
      <c r="AX100" s="69"/>
      <c r="AY100" s="69"/>
      <c r="AZ100" s="69"/>
      <c r="BA100" s="69"/>
      <c r="BB100" s="69"/>
      <c r="BC100" s="69"/>
      <c r="BD100" s="69"/>
      <c r="BE100" s="69"/>
      <c r="BF100" s="69"/>
      <c r="BG100" s="69"/>
      <c r="BH100" s="69"/>
      <c r="BI100" s="69"/>
      <c r="BJ100" s="69"/>
      <c r="BK100" s="69"/>
      <c r="BL100" s="69"/>
      <c r="BM100" s="69"/>
    </row>
    <row r="101" customFormat="false" ht="15" hidden="false" customHeight="false" outlineLevel="0" collapsed="false">
      <c r="B101" s="69"/>
      <c r="C101" s="69"/>
      <c r="D101" s="69"/>
      <c r="E101" s="69"/>
      <c r="F101" s="69"/>
      <c r="G101" s="69"/>
      <c r="H101" s="69"/>
      <c r="I101" s="69"/>
      <c r="J101" s="69"/>
      <c r="K101" s="69"/>
      <c r="L101" s="69"/>
      <c r="M101" s="69"/>
      <c r="N101" s="69"/>
      <c r="O101" s="69"/>
      <c r="P101" s="69"/>
      <c r="Q101" s="69"/>
      <c r="R101" s="69"/>
      <c r="S101" s="69"/>
      <c r="T101" s="69"/>
      <c r="U101" s="69"/>
      <c r="V101" s="69"/>
      <c r="W101" s="69"/>
      <c r="X101" s="69"/>
      <c r="Y101" s="69"/>
      <c r="Z101" s="69"/>
      <c r="AA101" s="69"/>
      <c r="AB101" s="69"/>
      <c r="AC101" s="69"/>
      <c r="AD101" s="69"/>
      <c r="AE101" s="69"/>
      <c r="AF101" s="69"/>
      <c r="AG101" s="69"/>
      <c r="AH101" s="69"/>
      <c r="AI101" s="69"/>
      <c r="AJ101" s="69"/>
      <c r="AK101" s="69"/>
      <c r="AL101" s="69"/>
      <c r="AM101" s="69"/>
      <c r="AN101" s="69"/>
      <c r="AO101" s="69"/>
      <c r="AP101" s="69"/>
      <c r="AQ101" s="69"/>
      <c r="AR101" s="69"/>
      <c r="AS101" s="69"/>
      <c r="AT101" s="69"/>
      <c r="AU101" s="69"/>
      <c r="AV101" s="69"/>
      <c r="AW101" s="69"/>
      <c r="AX101" s="69"/>
      <c r="AY101" s="69"/>
      <c r="AZ101" s="69"/>
      <c r="BA101" s="69"/>
      <c r="BB101" s="69"/>
      <c r="BC101" s="69"/>
      <c r="BD101" s="69"/>
      <c r="BE101" s="69"/>
      <c r="BF101" s="69"/>
      <c r="BG101" s="69"/>
      <c r="BH101" s="69"/>
      <c r="BI101" s="69"/>
      <c r="BJ101" s="69"/>
      <c r="BK101" s="69"/>
      <c r="BL101" s="69"/>
      <c r="BM101" s="69"/>
    </row>
    <row r="102" customFormat="false" ht="15" hidden="false" customHeight="false" outlineLevel="0" collapsed="false">
      <c r="B102" s="69"/>
      <c r="C102" s="69"/>
      <c r="D102" s="69"/>
      <c r="E102" s="69"/>
      <c r="F102" s="69"/>
      <c r="G102" s="69"/>
      <c r="H102" s="69"/>
      <c r="I102" s="69"/>
      <c r="J102" s="69"/>
      <c r="K102" s="69"/>
      <c r="L102" s="69"/>
      <c r="M102" s="69"/>
      <c r="N102" s="69"/>
      <c r="O102" s="69"/>
      <c r="P102" s="69"/>
      <c r="Q102" s="69"/>
      <c r="R102" s="69"/>
      <c r="S102" s="69"/>
      <c r="T102" s="69"/>
      <c r="U102" s="69"/>
      <c r="V102" s="69"/>
      <c r="W102" s="69"/>
      <c r="X102" s="69"/>
      <c r="Y102" s="69"/>
      <c r="Z102" s="69"/>
      <c r="AA102" s="69"/>
      <c r="AB102" s="69"/>
      <c r="AC102" s="69"/>
      <c r="AD102" s="69"/>
      <c r="AE102" s="69"/>
      <c r="AF102" s="69"/>
      <c r="AG102" s="69"/>
      <c r="AH102" s="69"/>
      <c r="AI102" s="69"/>
      <c r="AJ102" s="69"/>
      <c r="AK102" s="69"/>
      <c r="AL102" s="69"/>
      <c r="AM102" s="69"/>
      <c r="AN102" s="69"/>
      <c r="AO102" s="69"/>
      <c r="AP102" s="69"/>
      <c r="AQ102" s="69"/>
      <c r="AR102" s="69"/>
      <c r="AS102" s="69"/>
      <c r="AT102" s="69"/>
      <c r="AU102" s="69"/>
      <c r="AV102" s="69"/>
      <c r="AW102" s="69"/>
      <c r="AX102" s="69"/>
      <c r="AY102" s="69"/>
      <c r="AZ102" s="69"/>
      <c r="BA102" s="69"/>
      <c r="BB102" s="69"/>
      <c r="BC102" s="69"/>
      <c r="BD102" s="69"/>
      <c r="BE102" s="69"/>
      <c r="BF102" s="69"/>
      <c r="BG102" s="69"/>
      <c r="BH102" s="69"/>
      <c r="BI102" s="69"/>
      <c r="BJ102" s="69"/>
      <c r="BK102" s="69"/>
      <c r="BL102" s="69"/>
      <c r="BM102" s="69"/>
    </row>
    <row r="103" customFormat="false" ht="15" hidden="false" customHeight="false" outlineLevel="0" collapsed="false">
      <c r="B103" s="69"/>
      <c r="C103" s="69"/>
      <c r="D103" s="69"/>
      <c r="E103" s="69"/>
      <c r="F103" s="69"/>
      <c r="G103" s="69"/>
      <c r="H103" s="69"/>
      <c r="I103" s="69"/>
      <c r="J103" s="69"/>
      <c r="K103" s="69"/>
      <c r="L103" s="69"/>
      <c r="M103" s="69"/>
      <c r="N103" s="69"/>
      <c r="O103" s="69"/>
      <c r="P103" s="69"/>
      <c r="Q103" s="69"/>
      <c r="R103" s="69"/>
      <c r="S103" s="69"/>
      <c r="T103" s="69"/>
      <c r="U103" s="69"/>
      <c r="V103" s="69"/>
      <c r="W103" s="69"/>
      <c r="X103" s="69"/>
      <c r="Y103" s="69"/>
      <c r="Z103" s="69"/>
      <c r="AA103" s="69"/>
      <c r="AB103" s="69"/>
      <c r="AC103" s="69"/>
      <c r="AD103" s="69"/>
      <c r="AE103" s="69"/>
      <c r="AF103" s="69"/>
      <c r="AG103" s="69"/>
      <c r="AH103" s="69"/>
      <c r="AI103" s="69"/>
      <c r="AJ103" s="69"/>
      <c r="AK103" s="69"/>
      <c r="AL103" s="69"/>
      <c r="AM103" s="69"/>
      <c r="AN103" s="69"/>
      <c r="AO103" s="69"/>
      <c r="AP103" s="69"/>
      <c r="AQ103" s="69"/>
      <c r="AR103" s="69"/>
      <c r="AS103" s="69"/>
      <c r="AT103" s="69"/>
      <c r="AU103" s="69"/>
      <c r="AV103" s="69"/>
      <c r="AW103" s="69"/>
      <c r="AX103" s="69"/>
      <c r="AY103" s="69"/>
      <c r="AZ103" s="69"/>
      <c r="BA103" s="69"/>
      <c r="BB103" s="69"/>
      <c r="BC103" s="69"/>
      <c r="BD103" s="69"/>
      <c r="BE103" s="69"/>
      <c r="BF103" s="69"/>
      <c r="BG103" s="69"/>
      <c r="BH103" s="69"/>
      <c r="BI103" s="69"/>
      <c r="BJ103" s="69"/>
      <c r="BK103" s="69"/>
      <c r="BL103" s="69"/>
      <c r="BM103" s="69"/>
    </row>
    <row r="104" customFormat="false" ht="15" hidden="false" customHeight="false" outlineLevel="0" collapsed="false">
      <c r="B104" s="69"/>
      <c r="C104" s="69"/>
      <c r="D104" s="69"/>
      <c r="E104" s="69"/>
      <c r="F104" s="69"/>
      <c r="G104" s="69"/>
      <c r="H104" s="69"/>
      <c r="I104" s="69"/>
      <c r="J104" s="69"/>
      <c r="K104" s="69"/>
      <c r="L104" s="69"/>
      <c r="M104" s="69"/>
      <c r="N104" s="69"/>
      <c r="O104" s="69"/>
      <c r="P104" s="69"/>
      <c r="Q104" s="69"/>
      <c r="R104" s="69"/>
      <c r="S104" s="69"/>
      <c r="T104" s="69"/>
      <c r="U104" s="69"/>
      <c r="V104" s="69"/>
      <c r="W104" s="69"/>
      <c r="X104" s="69"/>
      <c r="Y104" s="69"/>
      <c r="Z104" s="69"/>
      <c r="AA104" s="69"/>
      <c r="AB104" s="69"/>
      <c r="AC104" s="69"/>
      <c r="AD104" s="69"/>
      <c r="AE104" s="69"/>
      <c r="AF104" s="69"/>
      <c r="AG104" s="69"/>
      <c r="AH104" s="69"/>
      <c r="AI104" s="69"/>
      <c r="AJ104" s="69"/>
      <c r="AK104" s="69"/>
      <c r="AL104" s="69"/>
      <c r="AM104" s="69"/>
      <c r="AN104" s="69"/>
      <c r="AO104" s="69"/>
      <c r="AP104" s="69"/>
      <c r="AQ104" s="69"/>
      <c r="AR104" s="69"/>
      <c r="AS104" s="69"/>
      <c r="AT104" s="69"/>
      <c r="AU104" s="69"/>
      <c r="AV104" s="69"/>
      <c r="AW104" s="69"/>
      <c r="AX104" s="69"/>
      <c r="AY104" s="69"/>
      <c r="AZ104" s="69"/>
      <c r="BA104" s="69"/>
      <c r="BB104" s="69"/>
      <c r="BC104" s="69"/>
      <c r="BD104" s="69"/>
      <c r="BE104" s="69"/>
      <c r="BF104" s="69"/>
      <c r="BG104" s="69"/>
      <c r="BH104" s="69"/>
      <c r="BI104" s="69"/>
      <c r="BJ104" s="69"/>
      <c r="BK104" s="69"/>
      <c r="BL104" s="69"/>
      <c r="BM104" s="69"/>
    </row>
    <row r="105" customFormat="false" ht="15" hidden="false" customHeight="false" outlineLevel="0" collapsed="false">
      <c r="B105" s="69"/>
      <c r="C105" s="69"/>
      <c r="D105" s="69"/>
      <c r="E105" s="69"/>
      <c r="F105" s="69"/>
      <c r="G105" s="69"/>
      <c r="H105" s="69"/>
      <c r="I105" s="69"/>
      <c r="J105" s="69"/>
      <c r="K105" s="69"/>
      <c r="L105" s="69"/>
      <c r="M105" s="69"/>
      <c r="N105" s="69"/>
      <c r="O105" s="69"/>
      <c r="P105" s="69"/>
      <c r="Q105" s="69"/>
      <c r="R105" s="69"/>
      <c r="S105" s="69"/>
      <c r="T105" s="69"/>
      <c r="U105" s="69"/>
      <c r="V105" s="69"/>
      <c r="W105" s="69"/>
      <c r="X105" s="69"/>
      <c r="Y105" s="69"/>
      <c r="Z105" s="69"/>
      <c r="AA105" s="69"/>
      <c r="AB105" s="69"/>
      <c r="AC105" s="69"/>
      <c r="AD105" s="69"/>
      <c r="AE105" s="69"/>
      <c r="AF105" s="69"/>
      <c r="AG105" s="69"/>
      <c r="AH105" s="69"/>
      <c r="AI105" s="69"/>
      <c r="AJ105" s="69"/>
      <c r="AK105" s="69"/>
      <c r="AL105" s="69"/>
      <c r="AM105" s="69"/>
      <c r="AN105" s="69"/>
      <c r="AO105" s="69"/>
      <c r="AP105" s="69"/>
      <c r="AQ105" s="69"/>
      <c r="AR105" s="69"/>
      <c r="AS105" s="69"/>
      <c r="AT105" s="69"/>
      <c r="AU105" s="69"/>
      <c r="AV105" s="69"/>
      <c r="AW105" s="69"/>
      <c r="AX105" s="69"/>
      <c r="AY105" s="69"/>
      <c r="AZ105" s="69"/>
      <c r="BA105" s="69"/>
      <c r="BB105" s="69"/>
      <c r="BC105" s="69"/>
      <c r="BD105" s="69"/>
      <c r="BE105" s="69"/>
      <c r="BF105" s="69"/>
      <c r="BG105" s="69"/>
      <c r="BH105" s="69"/>
      <c r="BI105" s="69"/>
      <c r="BJ105" s="69"/>
      <c r="BK105" s="69"/>
      <c r="BL105" s="69"/>
      <c r="BM105" s="69"/>
    </row>
    <row r="106" customFormat="false" ht="15" hidden="false" customHeight="false" outlineLevel="0" collapsed="false">
      <c r="B106" s="69"/>
      <c r="C106" s="69"/>
      <c r="D106" s="69"/>
      <c r="E106" s="69"/>
      <c r="F106" s="69"/>
      <c r="G106" s="69"/>
      <c r="H106" s="69"/>
      <c r="I106" s="69"/>
      <c r="J106" s="69"/>
      <c r="K106" s="69"/>
      <c r="L106" s="69"/>
      <c r="M106" s="69"/>
      <c r="N106" s="69"/>
      <c r="O106" s="69"/>
      <c r="P106" s="69"/>
      <c r="Q106" s="69"/>
      <c r="R106" s="69"/>
      <c r="S106" s="69"/>
      <c r="T106" s="69"/>
      <c r="U106" s="69"/>
      <c r="V106" s="69"/>
      <c r="W106" s="69"/>
      <c r="X106" s="69"/>
      <c r="Y106" s="69"/>
      <c r="Z106" s="69"/>
      <c r="AA106" s="69"/>
      <c r="AB106" s="69"/>
      <c r="AC106" s="69"/>
      <c r="AD106" s="69"/>
      <c r="AE106" s="69"/>
      <c r="AF106" s="69"/>
      <c r="AG106" s="69"/>
      <c r="AH106" s="69"/>
      <c r="AI106" s="69"/>
      <c r="AJ106" s="69"/>
      <c r="AK106" s="69"/>
      <c r="AL106" s="69"/>
      <c r="AM106" s="69"/>
      <c r="AN106" s="69"/>
      <c r="AO106" s="69"/>
      <c r="AP106" s="69"/>
      <c r="AQ106" s="69"/>
      <c r="AR106" s="69"/>
      <c r="AS106" s="69"/>
      <c r="AT106" s="69"/>
      <c r="AU106" s="69"/>
      <c r="AV106" s="69"/>
      <c r="AW106" s="69"/>
      <c r="AX106" s="69"/>
      <c r="AY106" s="69"/>
      <c r="AZ106" s="69"/>
      <c r="BA106" s="69"/>
      <c r="BB106" s="69"/>
      <c r="BC106" s="69"/>
      <c r="BD106" s="69"/>
      <c r="BE106" s="69"/>
      <c r="BF106" s="69"/>
      <c r="BG106" s="69"/>
      <c r="BH106" s="69"/>
      <c r="BI106" s="69"/>
      <c r="BJ106" s="69"/>
      <c r="BK106" s="69"/>
      <c r="BL106" s="69"/>
      <c r="BM106" s="69"/>
    </row>
    <row r="107" customFormat="false" ht="15" hidden="false" customHeight="false" outlineLevel="0" collapsed="false">
      <c r="B107" s="69"/>
      <c r="C107" s="69"/>
      <c r="D107" s="69"/>
      <c r="E107" s="69"/>
      <c r="F107" s="69"/>
      <c r="G107" s="69"/>
      <c r="H107" s="69"/>
      <c r="I107" s="69"/>
      <c r="J107" s="69"/>
      <c r="K107" s="69"/>
      <c r="L107" s="69"/>
      <c r="M107" s="69"/>
      <c r="N107" s="69"/>
      <c r="O107" s="69"/>
      <c r="P107" s="69"/>
      <c r="Q107" s="69"/>
      <c r="R107" s="69"/>
      <c r="S107" s="69"/>
      <c r="T107" s="69"/>
      <c r="U107" s="69"/>
      <c r="V107" s="69"/>
      <c r="W107" s="69"/>
      <c r="X107" s="69"/>
      <c r="Y107" s="69"/>
      <c r="Z107" s="69"/>
      <c r="AA107" s="69"/>
      <c r="AB107" s="69"/>
      <c r="AC107" s="69"/>
      <c r="AD107" s="69"/>
      <c r="AE107" s="69"/>
      <c r="AF107" s="69"/>
      <c r="AG107" s="69"/>
      <c r="AH107" s="69"/>
      <c r="AI107" s="69"/>
      <c r="AJ107" s="69"/>
      <c r="AK107" s="69"/>
      <c r="AL107" s="69"/>
      <c r="AM107" s="69"/>
      <c r="AN107" s="69"/>
      <c r="AO107" s="69"/>
      <c r="AP107" s="69"/>
      <c r="AQ107" s="69"/>
      <c r="AR107" s="69"/>
      <c r="AS107" s="69"/>
      <c r="AT107" s="69"/>
      <c r="AU107" s="69"/>
      <c r="AV107" s="69"/>
      <c r="AW107" s="69"/>
      <c r="AX107" s="69"/>
      <c r="AY107" s="69"/>
      <c r="AZ107" s="69"/>
      <c r="BA107" s="69"/>
      <c r="BB107" s="69"/>
      <c r="BC107" s="69"/>
      <c r="BD107" s="69"/>
      <c r="BE107" s="69"/>
      <c r="BF107" s="69"/>
      <c r="BG107" s="69"/>
      <c r="BH107" s="69"/>
      <c r="BI107" s="69"/>
      <c r="BJ107" s="69"/>
      <c r="BK107" s="69"/>
      <c r="BL107" s="69"/>
      <c r="BM107" s="69"/>
    </row>
    <row r="108" customFormat="false" ht="15" hidden="false" customHeight="false" outlineLevel="0" collapsed="false">
      <c r="B108" s="69"/>
      <c r="C108" s="69"/>
      <c r="D108" s="69"/>
      <c r="E108" s="69"/>
      <c r="F108" s="69"/>
      <c r="G108" s="69"/>
      <c r="H108" s="69"/>
      <c r="I108" s="69"/>
      <c r="J108" s="69"/>
      <c r="K108" s="69"/>
      <c r="L108" s="69"/>
      <c r="M108" s="69"/>
      <c r="N108" s="69"/>
      <c r="O108" s="69"/>
      <c r="P108" s="69"/>
      <c r="Q108" s="69"/>
      <c r="R108" s="69"/>
      <c r="S108" s="69"/>
      <c r="T108" s="69"/>
      <c r="U108" s="69"/>
      <c r="V108" s="69"/>
      <c r="W108" s="69"/>
      <c r="X108" s="69"/>
      <c r="Y108" s="69"/>
      <c r="Z108" s="69"/>
      <c r="AA108" s="69"/>
      <c r="AB108" s="69"/>
      <c r="AC108" s="69"/>
      <c r="AD108" s="69"/>
      <c r="AE108" s="69"/>
      <c r="AF108" s="69"/>
      <c r="AG108" s="69"/>
      <c r="AH108" s="69"/>
      <c r="AI108" s="69"/>
      <c r="AJ108" s="69"/>
      <c r="AK108" s="69"/>
      <c r="AL108" s="69"/>
      <c r="AM108" s="69"/>
      <c r="AN108" s="69"/>
      <c r="AO108" s="69"/>
      <c r="AP108" s="69"/>
      <c r="AQ108" s="69"/>
      <c r="AR108" s="69"/>
      <c r="AS108" s="69"/>
      <c r="AT108" s="69"/>
      <c r="AU108" s="69"/>
      <c r="AV108" s="69"/>
      <c r="AW108" s="69"/>
      <c r="AX108" s="69"/>
      <c r="AY108" s="69"/>
      <c r="AZ108" s="69"/>
      <c r="BA108" s="69"/>
      <c r="BB108" s="69"/>
      <c r="BC108" s="69"/>
      <c r="BD108" s="69"/>
      <c r="BE108" s="69"/>
      <c r="BF108" s="69"/>
      <c r="BG108" s="69"/>
      <c r="BH108" s="69"/>
      <c r="BI108" s="69"/>
      <c r="BJ108" s="69"/>
      <c r="BK108" s="69"/>
      <c r="BL108" s="69"/>
      <c r="BM108" s="69"/>
    </row>
    <row r="109" customFormat="false" ht="15" hidden="false" customHeight="false" outlineLevel="0" collapsed="false">
      <c r="B109" s="69"/>
      <c r="C109" s="69"/>
      <c r="D109" s="69"/>
      <c r="E109" s="69"/>
      <c r="F109" s="69"/>
      <c r="G109" s="69"/>
      <c r="H109" s="69"/>
      <c r="I109" s="69"/>
      <c r="J109" s="69"/>
      <c r="K109" s="69"/>
      <c r="L109" s="69"/>
      <c r="M109" s="69"/>
      <c r="N109" s="69"/>
      <c r="O109" s="69"/>
      <c r="P109" s="69"/>
      <c r="Q109" s="69"/>
      <c r="R109" s="69"/>
      <c r="S109" s="69"/>
      <c r="T109" s="69"/>
      <c r="U109" s="69"/>
      <c r="V109" s="69"/>
      <c r="W109" s="69"/>
      <c r="X109" s="69"/>
      <c r="Y109" s="69"/>
      <c r="Z109" s="69"/>
      <c r="AA109" s="69"/>
      <c r="AB109" s="69"/>
      <c r="AC109" s="69"/>
      <c r="AD109" s="69"/>
      <c r="AE109" s="69"/>
      <c r="AF109" s="69"/>
      <c r="AG109" s="69"/>
      <c r="AH109" s="69"/>
      <c r="AI109" s="69"/>
      <c r="AJ109" s="69"/>
      <c r="AK109" s="69"/>
      <c r="AL109" s="69"/>
      <c r="AM109" s="69"/>
      <c r="AN109" s="69"/>
      <c r="AO109" s="69"/>
      <c r="AP109" s="69"/>
      <c r="AQ109" s="69"/>
      <c r="AR109" s="69"/>
      <c r="AS109" s="69"/>
      <c r="AT109" s="69"/>
      <c r="AU109" s="69"/>
      <c r="AV109" s="69"/>
      <c r="AW109" s="69"/>
      <c r="AX109" s="69"/>
      <c r="AY109" s="69"/>
      <c r="AZ109" s="69"/>
      <c r="BA109" s="69"/>
      <c r="BB109" s="69"/>
      <c r="BC109" s="69"/>
      <c r="BD109" s="69"/>
      <c r="BE109" s="69"/>
      <c r="BF109" s="69"/>
      <c r="BG109" s="69"/>
      <c r="BH109" s="69"/>
      <c r="BI109" s="69"/>
      <c r="BJ109" s="69"/>
      <c r="BK109" s="69"/>
      <c r="BL109" s="69"/>
      <c r="BM109" s="69"/>
    </row>
    <row r="110" customFormat="false" ht="15" hidden="false" customHeight="false" outlineLevel="0" collapsed="false">
      <c r="B110" s="69"/>
      <c r="C110" s="69"/>
      <c r="D110" s="69"/>
      <c r="E110" s="69"/>
      <c r="F110" s="69"/>
      <c r="G110" s="69"/>
      <c r="H110" s="69"/>
      <c r="I110" s="69"/>
      <c r="J110" s="69"/>
      <c r="K110" s="69"/>
      <c r="L110" s="69"/>
      <c r="M110" s="69"/>
      <c r="N110" s="69"/>
      <c r="O110" s="69"/>
      <c r="P110" s="69"/>
      <c r="Q110" s="69"/>
      <c r="R110" s="69"/>
      <c r="S110" s="69"/>
      <c r="T110" s="69"/>
      <c r="U110" s="69"/>
      <c r="V110" s="69"/>
      <c r="W110" s="69"/>
      <c r="X110" s="69"/>
      <c r="Y110" s="69"/>
      <c r="Z110" s="69"/>
      <c r="AA110" s="69"/>
      <c r="AB110" s="69"/>
      <c r="AC110" s="69"/>
      <c r="AD110" s="69"/>
      <c r="AE110" s="69"/>
      <c r="AF110" s="69"/>
      <c r="AG110" s="69"/>
      <c r="AH110" s="69"/>
      <c r="AI110" s="69"/>
      <c r="AJ110" s="69"/>
      <c r="AK110" s="69"/>
      <c r="AL110" s="69"/>
      <c r="AM110" s="69"/>
      <c r="AN110" s="69"/>
      <c r="AO110" s="69"/>
      <c r="AP110" s="69"/>
      <c r="AQ110" s="69"/>
      <c r="AR110" s="69"/>
      <c r="AS110" s="69"/>
      <c r="AT110" s="69"/>
      <c r="AU110" s="69"/>
      <c r="AV110" s="69"/>
      <c r="AW110" s="69"/>
      <c r="AX110" s="69"/>
      <c r="AY110" s="69"/>
      <c r="AZ110" s="69"/>
      <c r="BA110" s="69"/>
      <c r="BB110" s="69"/>
      <c r="BC110" s="69"/>
      <c r="BD110" s="69"/>
      <c r="BE110" s="69"/>
      <c r="BF110" s="69"/>
      <c r="BG110" s="69"/>
      <c r="BH110" s="69"/>
      <c r="BI110" s="69"/>
      <c r="BJ110" s="69"/>
      <c r="BK110" s="69"/>
      <c r="BL110" s="69"/>
      <c r="BM110" s="69"/>
    </row>
    <row r="111" customFormat="false" ht="15" hidden="false" customHeight="false" outlineLevel="0" collapsed="false">
      <c r="B111" s="69"/>
      <c r="C111" s="69"/>
      <c r="D111" s="69"/>
      <c r="E111" s="69"/>
      <c r="F111" s="69"/>
      <c r="G111" s="69"/>
      <c r="H111" s="69"/>
      <c r="I111" s="69"/>
      <c r="J111" s="69"/>
      <c r="K111" s="69"/>
      <c r="L111" s="69"/>
      <c r="M111" s="69"/>
      <c r="N111" s="69"/>
      <c r="O111" s="69"/>
      <c r="P111" s="69"/>
      <c r="Q111" s="69"/>
      <c r="R111" s="69"/>
      <c r="S111" s="69"/>
      <c r="T111" s="69"/>
      <c r="U111" s="69"/>
      <c r="V111" s="69"/>
      <c r="W111" s="69"/>
      <c r="X111" s="69"/>
      <c r="Y111" s="69"/>
      <c r="Z111" s="69"/>
      <c r="AA111" s="69"/>
      <c r="AB111" s="69"/>
      <c r="AC111" s="69"/>
      <c r="AD111" s="69"/>
      <c r="AE111" s="69"/>
      <c r="AF111" s="69"/>
      <c r="AG111" s="69"/>
      <c r="AH111" s="69"/>
      <c r="AI111" s="69"/>
      <c r="AJ111" s="69"/>
      <c r="AK111" s="69"/>
      <c r="AL111" s="69"/>
      <c r="AM111" s="69"/>
      <c r="AN111" s="69"/>
      <c r="AO111" s="69"/>
      <c r="AP111" s="69"/>
      <c r="AQ111" s="69"/>
      <c r="AR111" s="69"/>
      <c r="AS111" s="69"/>
      <c r="AT111" s="69"/>
      <c r="AU111" s="69"/>
      <c r="AV111" s="69"/>
      <c r="AW111" s="69"/>
      <c r="AX111" s="69"/>
      <c r="AY111" s="69"/>
      <c r="AZ111" s="69"/>
      <c r="BA111" s="69"/>
      <c r="BB111" s="69"/>
      <c r="BC111" s="69"/>
      <c r="BD111" s="69"/>
      <c r="BE111" s="69"/>
      <c r="BF111" s="69"/>
      <c r="BG111" s="69"/>
      <c r="BH111" s="69"/>
      <c r="BI111" s="69"/>
      <c r="BJ111" s="69"/>
      <c r="BK111" s="69"/>
      <c r="BL111" s="69"/>
      <c r="BM111" s="69"/>
    </row>
    <row r="112" customFormat="false" ht="15" hidden="false" customHeight="false" outlineLevel="0" collapsed="false">
      <c r="B112" s="69"/>
      <c r="C112" s="69"/>
      <c r="D112" s="69"/>
      <c r="E112" s="69"/>
      <c r="F112" s="69"/>
      <c r="G112" s="69"/>
      <c r="H112" s="69"/>
      <c r="I112" s="69"/>
      <c r="J112" s="69"/>
      <c r="K112" s="69"/>
      <c r="L112" s="69"/>
      <c r="M112" s="69"/>
      <c r="N112" s="69"/>
      <c r="O112" s="69"/>
      <c r="P112" s="69"/>
      <c r="Q112" s="69"/>
      <c r="R112" s="69"/>
      <c r="S112" s="69"/>
      <c r="T112" s="69"/>
      <c r="U112" s="69"/>
      <c r="V112" s="69"/>
      <c r="W112" s="69"/>
      <c r="X112" s="69"/>
      <c r="Y112" s="69"/>
      <c r="Z112" s="69"/>
      <c r="AA112" s="69"/>
      <c r="AB112" s="69"/>
      <c r="AC112" s="69"/>
      <c r="AD112" s="69"/>
      <c r="AE112" s="69"/>
      <c r="AF112" s="69"/>
      <c r="AG112" s="69"/>
      <c r="AH112" s="69"/>
      <c r="AI112" s="69"/>
      <c r="AJ112" s="69"/>
      <c r="AK112" s="69"/>
      <c r="AL112" s="69"/>
      <c r="AM112" s="69"/>
      <c r="AN112" s="69"/>
      <c r="AO112" s="69"/>
      <c r="AP112" s="69"/>
      <c r="AQ112" s="69"/>
      <c r="AR112" s="69"/>
      <c r="AS112" s="69"/>
      <c r="AT112" s="69"/>
      <c r="AU112" s="69"/>
      <c r="AV112" s="69"/>
      <c r="AW112" s="69"/>
      <c r="AX112" s="69"/>
      <c r="AY112" s="69"/>
      <c r="AZ112" s="69"/>
      <c r="BA112" s="69"/>
      <c r="BB112" s="69"/>
      <c r="BC112" s="69"/>
      <c r="BD112" s="69"/>
      <c r="BE112" s="69"/>
      <c r="BF112" s="69"/>
      <c r="BG112" s="69"/>
      <c r="BH112" s="69"/>
      <c r="BI112" s="69"/>
      <c r="BJ112" s="69"/>
      <c r="BK112" s="69"/>
      <c r="BL112" s="69"/>
      <c r="BM112" s="69"/>
    </row>
    <row r="113" customFormat="false" ht="15" hidden="false" customHeight="false" outlineLevel="0" collapsed="false">
      <c r="B113" s="69"/>
      <c r="C113" s="69"/>
      <c r="D113" s="69"/>
      <c r="E113" s="69"/>
      <c r="F113" s="69"/>
      <c r="G113" s="69"/>
      <c r="H113" s="69"/>
      <c r="I113" s="69"/>
      <c r="J113" s="69"/>
      <c r="K113" s="69"/>
      <c r="L113" s="69"/>
      <c r="M113" s="69"/>
      <c r="N113" s="69"/>
      <c r="O113" s="69"/>
      <c r="P113" s="69"/>
      <c r="Q113" s="69"/>
      <c r="R113" s="69"/>
      <c r="S113" s="69"/>
      <c r="T113" s="69"/>
      <c r="U113" s="69"/>
      <c r="V113" s="69"/>
      <c r="W113" s="69"/>
      <c r="X113" s="69"/>
      <c r="Y113" s="69"/>
      <c r="Z113" s="69"/>
      <c r="AA113" s="69"/>
      <c r="AB113" s="69"/>
      <c r="AC113" s="69"/>
      <c r="AD113" s="69"/>
      <c r="AE113" s="69"/>
      <c r="AF113" s="69"/>
      <c r="AG113" s="69"/>
      <c r="AH113" s="69"/>
      <c r="AI113" s="69"/>
      <c r="AJ113" s="69"/>
      <c r="AK113" s="69"/>
      <c r="AL113" s="69"/>
      <c r="AM113" s="69"/>
      <c r="AN113" s="69"/>
      <c r="AO113" s="69"/>
      <c r="AP113" s="69"/>
      <c r="AQ113" s="69"/>
      <c r="AR113" s="69"/>
      <c r="AS113" s="69"/>
      <c r="AT113" s="69"/>
      <c r="AU113" s="69"/>
      <c r="AV113" s="69"/>
      <c r="AW113" s="69"/>
      <c r="AX113" s="69"/>
      <c r="AY113" s="69"/>
      <c r="AZ113" s="69"/>
      <c r="BA113" s="69"/>
      <c r="BB113" s="69"/>
      <c r="BC113" s="69"/>
      <c r="BD113" s="69"/>
      <c r="BE113" s="69"/>
      <c r="BF113" s="69"/>
      <c r="BG113" s="69"/>
      <c r="BH113" s="69"/>
      <c r="BI113" s="69"/>
      <c r="BJ113" s="69"/>
      <c r="BK113" s="69"/>
      <c r="BL113" s="69"/>
      <c r="BM113" s="69"/>
    </row>
    <row r="114" customFormat="false" ht="15" hidden="false" customHeight="false" outlineLevel="0" collapsed="false">
      <c r="B114" s="69"/>
      <c r="C114" s="69"/>
      <c r="D114" s="69"/>
      <c r="E114" s="69"/>
      <c r="F114" s="69"/>
      <c r="G114" s="69"/>
      <c r="H114" s="69"/>
      <c r="I114" s="69"/>
      <c r="J114" s="69"/>
      <c r="K114" s="69"/>
      <c r="L114" s="69"/>
      <c r="M114" s="69"/>
      <c r="N114" s="69"/>
      <c r="O114" s="69"/>
      <c r="P114" s="69"/>
      <c r="Q114" s="69"/>
      <c r="R114" s="69"/>
      <c r="S114" s="69"/>
      <c r="T114" s="69"/>
      <c r="U114" s="69"/>
      <c r="V114" s="69"/>
      <c r="W114" s="69"/>
      <c r="X114" s="69"/>
      <c r="Y114" s="69"/>
      <c r="Z114" s="69"/>
      <c r="AA114" s="69"/>
      <c r="AB114" s="69"/>
      <c r="AC114" s="69"/>
      <c r="AD114" s="69"/>
      <c r="AE114" s="69"/>
      <c r="AF114" s="69"/>
      <c r="AG114" s="69"/>
      <c r="AH114" s="69"/>
      <c r="AI114" s="69"/>
      <c r="AJ114" s="69"/>
      <c r="AK114" s="69"/>
      <c r="AL114" s="69"/>
      <c r="AM114" s="69"/>
      <c r="AN114" s="69"/>
      <c r="AO114" s="69"/>
      <c r="AP114" s="69"/>
      <c r="AQ114" s="69"/>
      <c r="AR114" s="69"/>
      <c r="AS114" s="69"/>
      <c r="AT114" s="69"/>
      <c r="AU114" s="69"/>
      <c r="AV114" s="69"/>
      <c r="AW114" s="69"/>
      <c r="AX114" s="69"/>
      <c r="AY114" s="69"/>
      <c r="AZ114" s="69"/>
      <c r="BA114" s="69"/>
      <c r="BB114" s="69"/>
      <c r="BC114" s="69"/>
      <c r="BD114" s="69"/>
      <c r="BE114" s="69"/>
      <c r="BF114" s="69"/>
      <c r="BG114" s="69"/>
      <c r="BH114" s="69"/>
      <c r="BI114" s="69"/>
      <c r="BJ114" s="69"/>
      <c r="BK114" s="69"/>
      <c r="BL114" s="69"/>
      <c r="BM114" s="69"/>
    </row>
    <row r="115" customFormat="false" ht="15" hidden="false" customHeight="false" outlineLevel="0" collapsed="false">
      <c r="B115" s="69"/>
      <c r="C115" s="69"/>
      <c r="D115" s="69"/>
      <c r="E115" s="69"/>
      <c r="F115" s="69"/>
      <c r="G115" s="69"/>
      <c r="H115" s="69"/>
      <c r="I115" s="69"/>
      <c r="J115" s="69"/>
      <c r="K115" s="69"/>
      <c r="L115" s="69"/>
      <c r="M115" s="69"/>
      <c r="N115" s="69"/>
      <c r="O115" s="69"/>
      <c r="P115" s="69"/>
      <c r="Q115" s="69"/>
      <c r="R115" s="69"/>
      <c r="S115" s="69"/>
      <c r="T115" s="69"/>
      <c r="U115" s="69"/>
      <c r="V115" s="69"/>
      <c r="W115" s="69"/>
      <c r="X115" s="69"/>
      <c r="Y115" s="69"/>
      <c r="Z115" s="69"/>
      <c r="AA115" s="69"/>
      <c r="AB115" s="69"/>
      <c r="AC115" s="69"/>
      <c r="AD115" s="69"/>
      <c r="AE115" s="69"/>
      <c r="AF115" s="69"/>
    </row>
    <row r="116" customFormat="false" ht="15" hidden="false" customHeight="false" outlineLevel="0" collapsed="false">
      <c r="B116" s="69"/>
      <c r="C116" s="69"/>
      <c r="D116" s="69"/>
      <c r="E116" s="69"/>
      <c r="F116" s="69"/>
      <c r="G116" s="69"/>
      <c r="H116" s="69"/>
      <c r="I116" s="69"/>
      <c r="J116" s="69"/>
      <c r="K116" s="69"/>
      <c r="L116" s="69"/>
      <c r="M116" s="69"/>
      <c r="N116" s="69"/>
      <c r="O116" s="69"/>
      <c r="P116" s="69"/>
      <c r="Q116" s="69"/>
      <c r="R116" s="69"/>
      <c r="S116" s="69"/>
      <c r="T116" s="69"/>
      <c r="U116" s="69"/>
      <c r="V116" s="69"/>
      <c r="W116" s="69"/>
      <c r="X116" s="69"/>
      <c r="Y116" s="69"/>
      <c r="Z116" s="69"/>
      <c r="AA116" s="69"/>
      <c r="AB116" s="69"/>
      <c r="AC116" s="69"/>
      <c r="AD116" s="69"/>
      <c r="AE116" s="69"/>
      <c r="AF116" s="69"/>
    </row>
    <row r="117" customFormat="false" ht="15" hidden="false" customHeight="false" outlineLevel="0" collapsed="false">
      <c r="B117" s="69"/>
      <c r="C117" s="69"/>
      <c r="D117" s="69"/>
      <c r="E117" s="69"/>
      <c r="F117" s="69"/>
      <c r="G117" s="69"/>
      <c r="H117" s="69"/>
      <c r="I117" s="69"/>
      <c r="J117" s="69"/>
      <c r="K117" s="69"/>
      <c r="L117" s="69"/>
      <c r="M117" s="69"/>
      <c r="N117" s="69"/>
      <c r="O117" s="69"/>
      <c r="P117" s="69"/>
      <c r="Q117" s="69"/>
      <c r="R117" s="69"/>
      <c r="S117" s="69"/>
      <c r="T117" s="69"/>
      <c r="U117" s="69"/>
      <c r="V117" s="69"/>
      <c r="W117" s="69"/>
      <c r="X117" s="69"/>
      <c r="Y117" s="69"/>
      <c r="Z117" s="69"/>
      <c r="AA117" s="69"/>
      <c r="AB117" s="69"/>
      <c r="AC117" s="69"/>
      <c r="AD117" s="69"/>
      <c r="AE117" s="69"/>
      <c r="AF117" s="69"/>
    </row>
    <row r="118" customFormat="false" ht="15" hidden="false" customHeight="false" outlineLevel="0" collapsed="false">
      <c r="B118" s="69"/>
      <c r="C118" s="69"/>
      <c r="D118" s="69"/>
      <c r="E118" s="69"/>
      <c r="F118" s="69"/>
      <c r="G118" s="69"/>
      <c r="H118" s="69"/>
      <c r="I118" s="69"/>
      <c r="J118" s="69"/>
      <c r="K118" s="69"/>
      <c r="L118" s="69"/>
      <c r="M118" s="69"/>
      <c r="N118" s="69"/>
      <c r="O118" s="69"/>
      <c r="P118" s="69"/>
      <c r="Q118" s="69"/>
      <c r="R118" s="69"/>
      <c r="S118" s="69"/>
      <c r="T118" s="69"/>
      <c r="U118" s="69"/>
      <c r="V118" s="69"/>
      <c r="W118" s="69"/>
      <c r="X118" s="69"/>
      <c r="Y118" s="69"/>
      <c r="Z118" s="69"/>
      <c r="AA118" s="69"/>
      <c r="AB118" s="69"/>
      <c r="AC118" s="69"/>
      <c r="AD118" s="69"/>
      <c r="AE118" s="69"/>
      <c r="AF118" s="69"/>
    </row>
    <row r="119" customFormat="false" ht="15" hidden="false" customHeight="false" outlineLevel="0" collapsed="false">
      <c r="B119" s="69"/>
      <c r="C119" s="69"/>
      <c r="D119" s="69"/>
      <c r="E119" s="69"/>
      <c r="F119" s="69"/>
      <c r="G119" s="69"/>
      <c r="H119" s="69"/>
      <c r="I119" s="69"/>
      <c r="J119" s="69"/>
      <c r="K119" s="69"/>
      <c r="L119" s="69"/>
      <c r="M119" s="69"/>
      <c r="N119" s="69"/>
      <c r="O119" s="69"/>
      <c r="P119" s="69"/>
      <c r="Q119" s="69"/>
      <c r="R119" s="69"/>
      <c r="S119" s="69"/>
      <c r="T119" s="69"/>
      <c r="U119" s="69"/>
      <c r="V119" s="69"/>
      <c r="W119" s="69"/>
      <c r="X119" s="69"/>
      <c r="Y119" s="69"/>
      <c r="Z119" s="69"/>
      <c r="AA119" s="69"/>
      <c r="AB119" s="69"/>
      <c r="AC119" s="69"/>
      <c r="AD119" s="69"/>
      <c r="AE119" s="69"/>
      <c r="AF119" s="69"/>
    </row>
    <row r="120" customFormat="false" ht="15" hidden="false" customHeight="false" outlineLevel="0" collapsed="false">
      <c r="B120" s="69"/>
      <c r="C120" s="69"/>
      <c r="D120" s="69"/>
      <c r="E120" s="69"/>
      <c r="F120" s="69"/>
      <c r="G120" s="69"/>
      <c r="H120" s="69"/>
      <c r="I120" s="69"/>
      <c r="J120" s="69"/>
      <c r="K120" s="69"/>
      <c r="L120" s="69"/>
      <c r="M120" s="69"/>
      <c r="N120" s="69"/>
      <c r="O120" s="69"/>
      <c r="P120" s="69"/>
      <c r="Q120" s="69"/>
      <c r="R120" s="69"/>
      <c r="S120" s="69"/>
      <c r="T120" s="69"/>
      <c r="U120" s="69"/>
      <c r="V120" s="69"/>
      <c r="W120" s="69"/>
      <c r="X120" s="69"/>
      <c r="Y120" s="69"/>
      <c r="Z120" s="69"/>
      <c r="AA120" s="69"/>
      <c r="AB120" s="69"/>
      <c r="AC120" s="69"/>
      <c r="AD120" s="69"/>
      <c r="AE120" s="69"/>
      <c r="AF120" s="69"/>
    </row>
    <row r="121" customFormat="false" ht="15" hidden="false" customHeight="false" outlineLevel="0" collapsed="false">
      <c r="B121" s="69"/>
      <c r="C121" s="69"/>
      <c r="D121" s="69"/>
      <c r="E121" s="69"/>
      <c r="F121" s="69"/>
      <c r="G121" s="69"/>
      <c r="H121" s="69"/>
      <c r="I121" s="69"/>
      <c r="J121" s="69"/>
      <c r="K121" s="69"/>
      <c r="L121" s="69"/>
      <c r="M121" s="69"/>
      <c r="N121" s="69"/>
      <c r="O121" s="69"/>
      <c r="P121" s="69"/>
      <c r="Q121" s="69"/>
      <c r="R121" s="69"/>
      <c r="S121" s="69"/>
      <c r="T121" s="69"/>
      <c r="U121" s="69"/>
      <c r="V121" s="69"/>
      <c r="W121" s="69"/>
      <c r="X121" s="69"/>
      <c r="Y121" s="69"/>
      <c r="Z121" s="69"/>
      <c r="AA121" s="69"/>
      <c r="AB121" s="69"/>
      <c r="AC121" s="69"/>
      <c r="AD121" s="69"/>
      <c r="AE121" s="69"/>
      <c r="AF121" s="69"/>
    </row>
    <row r="122" customFormat="false" ht="15" hidden="false" customHeight="false" outlineLevel="0" collapsed="false">
      <c r="B122" s="69"/>
      <c r="C122" s="69"/>
      <c r="D122" s="69"/>
      <c r="E122" s="69"/>
      <c r="F122" s="69"/>
      <c r="G122" s="69"/>
      <c r="H122" s="69"/>
      <c r="I122" s="69"/>
      <c r="J122" s="69"/>
      <c r="K122" s="69"/>
      <c r="L122" s="69"/>
      <c r="M122" s="69"/>
      <c r="N122" s="69"/>
      <c r="O122" s="69"/>
      <c r="P122" s="69"/>
      <c r="Q122" s="69"/>
      <c r="R122" s="69"/>
      <c r="S122" s="69"/>
      <c r="T122" s="69"/>
      <c r="U122" s="69"/>
      <c r="V122" s="69"/>
      <c r="W122" s="69"/>
      <c r="X122" s="69"/>
      <c r="Y122" s="69"/>
      <c r="Z122" s="69"/>
      <c r="AA122" s="69"/>
      <c r="AB122" s="69"/>
      <c r="AC122" s="69"/>
      <c r="AD122" s="69"/>
      <c r="AE122" s="69"/>
      <c r="AF122" s="69"/>
    </row>
    <row r="123" customFormat="false" ht="15" hidden="false" customHeight="false" outlineLevel="0" collapsed="false">
      <c r="B123" s="69"/>
      <c r="C123" s="69"/>
      <c r="D123" s="69"/>
      <c r="E123" s="69"/>
      <c r="F123" s="69"/>
      <c r="G123" s="69"/>
      <c r="H123" s="69"/>
      <c r="I123" s="69"/>
      <c r="J123" s="69"/>
      <c r="K123" s="69"/>
      <c r="L123" s="69"/>
      <c r="M123" s="69"/>
      <c r="N123" s="69"/>
      <c r="O123" s="69"/>
      <c r="P123" s="69"/>
      <c r="Q123" s="69"/>
      <c r="R123" s="69"/>
      <c r="S123" s="69"/>
      <c r="T123" s="69"/>
      <c r="U123" s="69"/>
      <c r="V123" s="69"/>
      <c r="W123" s="69"/>
      <c r="X123" s="69"/>
      <c r="Y123" s="69"/>
      <c r="Z123" s="69"/>
      <c r="AA123" s="69"/>
      <c r="AB123" s="69"/>
      <c r="AC123" s="69"/>
      <c r="AD123" s="69"/>
      <c r="AE123" s="69"/>
      <c r="AF123" s="69"/>
    </row>
    <row r="124" customFormat="false" ht="15" hidden="false" customHeight="false" outlineLevel="0" collapsed="false">
      <c r="B124" s="69"/>
      <c r="C124" s="69"/>
      <c r="D124" s="69"/>
      <c r="E124" s="69"/>
      <c r="F124" s="69"/>
      <c r="G124" s="69"/>
      <c r="H124" s="69"/>
      <c r="I124" s="69"/>
      <c r="J124" s="69"/>
      <c r="K124" s="69"/>
      <c r="L124" s="69"/>
      <c r="M124" s="69"/>
      <c r="N124" s="69"/>
      <c r="O124" s="69"/>
      <c r="P124" s="69"/>
      <c r="Q124" s="69"/>
      <c r="R124" s="69"/>
      <c r="S124" s="69"/>
      <c r="T124" s="69"/>
      <c r="U124" s="69"/>
      <c r="V124" s="69"/>
      <c r="W124" s="69"/>
      <c r="X124" s="69"/>
      <c r="Y124" s="69"/>
      <c r="Z124" s="69"/>
      <c r="AA124" s="69"/>
      <c r="AB124" s="69"/>
      <c r="AC124" s="69"/>
      <c r="AD124" s="69"/>
      <c r="AE124" s="69"/>
      <c r="AF124" s="69"/>
    </row>
    <row r="125" customFormat="false" ht="15" hidden="false" customHeight="false" outlineLevel="0" collapsed="false">
      <c r="B125" s="69"/>
      <c r="C125" s="69"/>
      <c r="D125" s="69"/>
      <c r="E125" s="69"/>
      <c r="F125" s="69"/>
      <c r="G125" s="69"/>
      <c r="H125" s="69"/>
      <c r="I125" s="69"/>
      <c r="J125" s="69"/>
      <c r="K125" s="69"/>
      <c r="L125" s="69"/>
      <c r="M125" s="69"/>
      <c r="N125" s="69"/>
      <c r="O125" s="69"/>
      <c r="P125" s="69"/>
      <c r="Q125" s="69"/>
      <c r="R125" s="69"/>
      <c r="S125" s="69"/>
      <c r="T125" s="69"/>
      <c r="U125" s="69"/>
      <c r="V125" s="69"/>
      <c r="W125" s="69"/>
      <c r="X125" s="69"/>
      <c r="Y125" s="69"/>
      <c r="Z125" s="69"/>
      <c r="AA125" s="69"/>
      <c r="AB125" s="69"/>
      <c r="AC125" s="69"/>
      <c r="AD125" s="69"/>
      <c r="AE125" s="69"/>
      <c r="AF125" s="69"/>
    </row>
    <row r="126" customFormat="false" ht="15" hidden="false" customHeight="false" outlineLevel="0" collapsed="false">
      <c r="B126" s="69"/>
      <c r="C126" s="69"/>
      <c r="D126" s="69"/>
      <c r="E126" s="69"/>
      <c r="F126" s="69"/>
      <c r="G126" s="69"/>
      <c r="H126" s="69"/>
      <c r="I126" s="69"/>
      <c r="J126" s="69"/>
      <c r="K126" s="69"/>
      <c r="L126" s="69"/>
      <c r="M126" s="69"/>
      <c r="N126" s="69"/>
      <c r="O126" s="69"/>
      <c r="P126" s="69"/>
      <c r="Q126" s="69"/>
      <c r="R126" s="69"/>
      <c r="S126" s="69"/>
      <c r="T126" s="69"/>
      <c r="U126" s="69"/>
      <c r="V126" s="69"/>
      <c r="W126" s="69"/>
      <c r="X126" s="69"/>
      <c r="Y126" s="69"/>
      <c r="Z126" s="69"/>
      <c r="AA126" s="69"/>
      <c r="AB126" s="69"/>
      <c r="AC126" s="69"/>
      <c r="AD126" s="69"/>
      <c r="AE126" s="69"/>
      <c r="AF126" s="69"/>
    </row>
    <row r="127" customFormat="false" ht="15" hidden="false" customHeight="false" outlineLevel="0" collapsed="false">
      <c r="B127" s="69"/>
      <c r="C127" s="69"/>
      <c r="D127" s="69"/>
      <c r="E127" s="69"/>
      <c r="F127" s="69"/>
      <c r="G127" s="69"/>
      <c r="H127" s="69"/>
      <c r="I127" s="69"/>
      <c r="J127" s="69"/>
      <c r="K127" s="69"/>
      <c r="L127" s="69"/>
      <c r="M127" s="69"/>
      <c r="N127" s="69"/>
      <c r="O127" s="69"/>
      <c r="P127" s="69"/>
      <c r="Q127" s="69"/>
      <c r="R127" s="69"/>
      <c r="S127" s="69"/>
      <c r="T127" s="69"/>
      <c r="U127" s="69"/>
      <c r="V127" s="69"/>
      <c r="W127" s="69"/>
      <c r="X127" s="69"/>
      <c r="Y127" s="69"/>
      <c r="Z127" s="69"/>
      <c r="AA127" s="69"/>
      <c r="AB127" s="69"/>
      <c r="AC127" s="69"/>
      <c r="AD127" s="69"/>
      <c r="AE127" s="69"/>
      <c r="AF127" s="69"/>
    </row>
    <row r="128" customFormat="false" ht="15" hidden="false" customHeight="false" outlineLevel="0" collapsed="false">
      <c r="B128" s="69"/>
      <c r="C128" s="69"/>
      <c r="D128" s="69"/>
      <c r="E128" s="69"/>
      <c r="F128" s="69"/>
      <c r="G128" s="69"/>
      <c r="H128" s="69"/>
      <c r="I128" s="69"/>
      <c r="J128" s="69"/>
      <c r="K128" s="69"/>
      <c r="L128" s="69"/>
      <c r="M128" s="69"/>
      <c r="N128" s="69"/>
      <c r="O128" s="69"/>
      <c r="P128" s="69"/>
      <c r="Q128" s="69"/>
      <c r="R128" s="69"/>
      <c r="S128" s="69"/>
      <c r="T128" s="69"/>
      <c r="U128" s="69"/>
      <c r="V128" s="69"/>
      <c r="W128" s="69"/>
      <c r="X128" s="69"/>
      <c r="Y128" s="69"/>
      <c r="Z128" s="69"/>
      <c r="AA128" s="69"/>
      <c r="AB128" s="69"/>
      <c r="AC128" s="69"/>
      <c r="AD128" s="69"/>
      <c r="AE128" s="69"/>
      <c r="AF128" s="69"/>
    </row>
    <row r="129" customFormat="false" ht="15" hidden="false" customHeight="false" outlineLevel="0" collapsed="false">
      <c r="B129" s="69"/>
      <c r="C129" s="69"/>
      <c r="D129" s="69"/>
      <c r="E129" s="69"/>
      <c r="F129" s="69"/>
      <c r="G129" s="69"/>
      <c r="H129" s="69"/>
      <c r="I129" s="69"/>
      <c r="J129" s="69"/>
      <c r="K129" s="69"/>
      <c r="L129" s="69"/>
      <c r="M129" s="69"/>
      <c r="N129" s="69"/>
      <c r="O129" s="69"/>
      <c r="P129" s="69"/>
      <c r="Q129" s="69"/>
      <c r="R129" s="69"/>
      <c r="S129" s="69"/>
      <c r="T129" s="69"/>
      <c r="U129" s="69"/>
      <c r="V129" s="69"/>
      <c r="W129" s="69"/>
      <c r="X129" s="69"/>
      <c r="Y129" s="69"/>
      <c r="Z129" s="69"/>
      <c r="AA129" s="69"/>
      <c r="AB129" s="69"/>
      <c r="AC129" s="69"/>
      <c r="AD129" s="69"/>
      <c r="AE129" s="69"/>
      <c r="AF129" s="69"/>
    </row>
    <row r="130" customFormat="false" ht="15" hidden="false" customHeight="false" outlineLevel="0" collapsed="false">
      <c r="B130" s="69"/>
      <c r="C130" s="69"/>
      <c r="D130" s="69"/>
      <c r="E130" s="69"/>
      <c r="F130" s="69"/>
      <c r="G130" s="69"/>
      <c r="H130" s="69"/>
      <c r="I130" s="69"/>
      <c r="J130" s="69"/>
      <c r="K130" s="69"/>
      <c r="L130" s="69"/>
      <c r="M130" s="69"/>
      <c r="N130" s="69"/>
      <c r="O130" s="69"/>
      <c r="P130" s="69"/>
      <c r="Q130" s="69"/>
      <c r="R130" s="69"/>
      <c r="S130" s="69"/>
      <c r="T130" s="69"/>
      <c r="U130" s="69"/>
      <c r="V130" s="69"/>
      <c r="W130" s="69"/>
      <c r="X130" s="69"/>
      <c r="Y130" s="69"/>
      <c r="Z130" s="69"/>
      <c r="AA130" s="69"/>
      <c r="AB130" s="69"/>
      <c r="AC130" s="69"/>
      <c r="AD130" s="69"/>
      <c r="AE130" s="69"/>
      <c r="AF130" s="69"/>
    </row>
    <row r="131" customFormat="false" ht="15" hidden="false" customHeight="false" outlineLevel="0" collapsed="false">
      <c r="B131" s="69"/>
      <c r="C131" s="69"/>
      <c r="D131" s="69"/>
      <c r="E131" s="69"/>
      <c r="F131" s="69"/>
      <c r="G131" s="69"/>
      <c r="H131" s="69"/>
      <c r="I131" s="69"/>
      <c r="J131" s="69"/>
      <c r="K131" s="69"/>
      <c r="L131" s="69"/>
      <c r="M131" s="69"/>
      <c r="N131" s="69"/>
      <c r="O131" s="69"/>
      <c r="P131" s="69"/>
      <c r="Q131" s="69"/>
      <c r="R131" s="69"/>
      <c r="S131" s="69"/>
      <c r="T131" s="69"/>
      <c r="U131" s="69"/>
      <c r="V131" s="69"/>
      <c r="W131" s="69"/>
      <c r="X131" s="69"/>
      <c r="Y131" s="69"/>
      <c r="Z131" s="69"/>
      <c r="AA131" s="69"/>
      <c r="AB131" s="69"/>
      <c r="AC131" s="69"/>
      <c r="AD131" s="69"/>
      <c r="AE131" s="69"/>
      <c r="AF131" s="69"/>
    </row>
    <row r="132" customFormat="false" ht="15" hidden="false" customHeight="false" outlineLevel="0" collapsed="false">
      <c r="B132" s="69"/>
      <c r="C132" s="69"/>
      <c r="D132" s="69"/>
      <c r="E132" s="69"/>
      <c r="F132" s="69"/>
      <c r="G132" s="69"/>
      <c r="H132" s="69"/>
      <c r="I132" s="69"/>
      <c r="J132" s="69"/>
      <c r="K132" s="69"/>
      <c r="L132" s="69"/>
      <c r="M132" s="69"/>
      <c r="N132" s="69"/>
      <c r="O132" s="69"/>
      <c r="P132" s="69"/>
      <c r="Q132" s="69"/>
      <c r="R132" s="69"/>
      <c r="S132" s="69"/>
      <c r="T132" s="69"/>
      <c r="U132" s="69"/>
      <c r="V132" s="69"/>
      <c r="W132" s="69"/>
      <c r="X132" s="69"/>
      <c r="Y132" s="69"/>
      <c r="Z132" s="69"/>
      <c r="AA132" s="69"/>
      <c r="AB132" s="69"/>
      <c r="AC132" s="69"/>
      <c r="AD132" s="69"/>
      <c r="AE132" s="69"/>
      <c r="AF132" s="69"/>
    </row>
    <row r="133" customFormat="false" ht="15" hidden="false" customHeight="false" outlineLevel="0" collapsed="false">
      <c r="B133" s="69"/>
      <c r="C133" s="69"/>
      <c r="D133" s="69"/>
      <c r="E133" s="69"/>
      <c r="F133" s="69"/>
      <c r="G133" s="69"/>
      <c r="H133" s="69"/>
      <c r="I133" s="69"/>
      <c r="J133" s="69"/>
      <c r="K133" s="69"/>
      <c r="L133" s="69"/>
      <c r="M133" s="69"/>
      <c r="N133" s="69"/>
      <c r="O133" s="69"/>
      <c r="P133" s="69"/>
      <c r="Q133" s="69"/>
      <c r="R133" s="69"/>
      <c r="S133" s="69"/>
      <c r="T133" s="69"/>
      <c r="U133" s="69"/>
      <c r="V133" s="69"/>
      <c r="W133" s="69"/>
      <c r="X133" s="69"/>
      <c r="Y133" s="69"/>
      <c r="Z133" s="69"/>
      <c r="AA133" s="69"/>
      <c r="AB133" s="69"/>
      <c r="AC133" s="69"/>
      <c r="AD133" s="69"/>
      <c r="AE133" s="69"/>
      <c r="AF133" s="69"/>
    </row>
    <row r="134" customFormat="false" ht="15" hidden="false" customHeight="false" outlineLevel="0" collapsed="false">
      <c r="B134" s="69"/>
      <c r="C134" s="69"/>
      <c r="D134" s="69"/>
      <c r="E134" s="69"/>
      <c r="F134" s="69"/>
      <c r="G134" s="69"/>
      <c r="H134" s="69"/>
      <c r="I134" s="69"/>
      <c r="J134" s="69"/>
      <c r="K134" s="69"/>
      <c r="L134" s="69"/>
      <c r="M134" s="69"/>
      <c r="N134" s="69"/>
      <c r="O134" s="69"/>
      <c r="P134" s="69"/>
      <c r="Q134" s="69"/>
      <c r="R134" s="69"/>
      <c r="S134" s="69"/>
      <c r="T134" s="69"/>
      <c r="U134" s="69"/>
      <c r="V134" s="69"/>
      <c r="W134" s="69"/>
      <c r="X134" s="69"/>
      <c r="Y134" s="69"/>
      <c r="Z134" s="69"/>
      <c r="AA134" s="69"/>
      <c r="AB134" s="69"/>
      <c r="AC134" s="69"/>
      <c r="AD134" s="69"/>
      <c r="AE134" s="69"/>
      <c r="AF134" s="69"/>
    </row>
    <row r="135" customFormat="false" ht="15" hidden="false" customHeight="false" outlineLevel="0" collapsed="false">
      <c r="B135" s="69"/>
      <c r="C135" s="69"/>
      <c r="D135" s="69"/>
      <c r="E135" s="69"/>
      <c r="F135" s="69"/>
      <c r="G135" s="69"/>
      <c r="H135" s="69"/>
      <c r="I135" s="69"/>
      <c r="J135" s="69"/>
      <c r="K135" s="69"/>
      <c r="L135" s="69"/>
      <c r="M135" s="69"/>
      <c r="N135" s="69"/>
      <c r="O135" s="69"/>
      <c r="P135" s="69"/>
      <c r="Q135" s="69"/>
      <c r="R135" s="69"/>
      <c r="S135" s="69"/>
      <c r="T135" s="69"/>
      <c r="U135" s="69"/>
      <c r="V135" s="69"/>
      <c r="W135" s="69"/>
      <c r="X135" s="69"/>
      <c r="Y135" s="69"/>
      <c r="Z135" s="69"/>
      <c r="AA135" s="69"/>
      <c r="AB135" s="69"/>
      <c r="AC135" s="69"/>
      <c r="AD135" s="69"/>
      <c r="AE135" s="69"/>
      <c r="AF135" s="69"/>
    </row>
    <row r="136" customFormat="false" ht="15" hidden="false" customHeight="false" outlineLevel="0" collapsed="false">
      <c r="B136" s="69"/>
      <c r="C136" s="69"/>
      <c r="D136" s="69"/>
      <c r="E136" s="69"/>
      <c r="F136" s="69"/>
      <c r="G136" s="69"/>
      <c r="H136" s="69"/>
      <c r="I136" s="69"/>
      <c r="J136" s="69"/>
      <c r="K136" s="69"/>
      <c r="L136" s="69"/>
      <c r="M136" s="69"/>
      <c r="N136" s="69"/>
      <c r="O136" s="69"/>
      <c r="P136" s="69"/>
      <c r="Q136" s="69"/>
      <c r="R136" s="69"/>
      <c r="S136" s="69"/>
      <c r="T136" s="69"/>
      <c r="U136" s="69"/>
      <c r="V136" s="69"/>
      <c r="W136" s="69"/>
      <c r="X136" s="69"/>
      <c r="Y136" s="69"/>
      <c r="Z136" s="69"/>
      <c r="AA136" s="69"/>
      <c r="AB136" s="69"/>
      <c r="AC136" s="69"/>
      <c r="AD136" s="69"/>
      <c r="AE136" s="69"/>
      <c r="AF136" s="69"/>
    </row>
    <row r="137" customFormat="false" ht="15" hidden="false" customHeight="false" outlineLevel="0" collapsed="false">
      <c r="B137" s="69"/>
      <c r="C137" s="69"/>
      <c r="D137" s="69"/>
      <c r="E137" s="69"/>
      <c r="F137" s="69"/>
      <c r="G137" s="69"/>
      <c r="H137" s="69"/>
      <c r="I137" s="69"/>
      <c r="J137" s="69"/>
      <c r="K137" s="69"/>
      <c r="L137" s="69"/>
      <c r="M137" s="69"/>
      <c r="N137" s="69"/>
      <c r="O137" s="69"/>
      <c r="P137" s="69"/>
      <c r="Q137" s="69"/>
      <c r="R137" s="69"/>
      <c r="S137" s="69"/>
      <c r="T137" s="69"/>
      <c r="U137" s="69"/>
      <c r="V137" s="69"/>
      <c r="W137" s="69"/>
      <c r="X137" s="69"/>
      <c r="Y137" s="69"/>
      <c r="Z137" s="69"/>
      <c r="AA137" s="69"/>
      <c r="AB137" s="69"/>
      <c r="AC137" s="69"/>
      <c r="AD137" s="69"/>
      <c r="AE137" s="69"/>
      <c r="AF137" s="69"/>
    </row>
    <row r="138" customFormat="false" ht="15" hidden="false" customHeight="false" outlineLevel="0" collapsed="false">
      <c r="B138" s="69"/>
      <c r="C138" s="69"/>
      <c r="D138" s="69"/>
      <c r="E138" s="69"/>
      <c r="F138" s="69"/>
      <c r="G138" s="69"/>
      <c r="H138" s="69"/>
      <c r="I138" s="69"/>
      <c r="J138" s="69"/>
      <c r="K138" s="69"/>
      <c r="L138" s="69"/>
      <c r="M138" s="69"/>
      <c r="N138" s="69"/>
      <c r="O138" s="69"/>
      <c r="P138" s="69"/>
      <c r="Q138" s="69"/>
      <c r="R138" s="69"/>
      <c r="S138" s="69"/>
      <c r="T138" s="69"/>
      <c r="U138" s="69"/>
      <c r="V138" s="69"/>
      <c r="W138" s="69"/>
      <c r="X138" s="69"/>
      <c r="Y138" s="69"/>
      <c r="Z138" s="69"/>
      <c r="AA138" s="69"/>
      <c r="AB138" s="69"/>
      <c r="AC138" s="69"/>
      <c r="AD138" s="69"/>
      <c r="AE138" s="69"/>
      <c r="AF138" s="69"/>
    </row>
    <row r="139" customFormat="false" ht="15" hidden="false" customHeight="false" outlineLevel="0" collapsed="false">
      <c r="B139" s="69"/>
      <c r="C139" s="69"/>
      <c r="D139" s="69"/>
      <c r="E139" s="69"/>
      <c r="F139" s="69"/>
      <c r="G139" s="69"/>
      <c r="H139" s="69"/>
      <c r="I139" s="69"/>
      <c r="J139" s="69"/>
      <c r="K139" s="69"/>
      <c r="L139" s="69"/>
      <c r="M139" s="69"/>
      <c r="N139" s="69"/>
      <c r="O139" s="69"/>
      <c r="P139" s="69"/>
      <c r="Q139" s="69"/>
      <c r="R139" s="69"/>
      <c r="S139" s="69"/>
      <c r="T139" s="69"/>
      <c r="U139" s="69"/>
      <c r="V139" s="69"/>
      <c r="W139" s="69"/>
      <c r="X139" s="69"/>
      <c r="Y139" s="69"/>
      <c r="Z139" s="69"/>
      <c r="AA139" s="69"/>
      <c r="AB139" s="69"/>
      <c r="AC139" s="69"/>
      <c r="AD139" s="69"/>
      <c r="AE139" s="69"/>
      <c r="AF139" s="69"/>
    </row>
    <row r="140" customFormat="false" ht="15" hidden="false" customHeight="false" outlineLevel="0" collapsed="false">
      <c r="B140" s="69"/>
      <c r="C140" s="69"/>
      <c r="D140" s="69"/>
      <c r="E140" s="69"/>
      <c r="F140" s="69"/>
      <c r="G140" s="69"/>
      <c r="H140" s="69"/>
      <c r="I140" s="69"/>
      <c r="J140" s="69"/>
      <c r="K140" s="69"/>
      <c r="L140" s="69"/>
      <c r="M140" s="69"/>
      <c r="N140" s="69"/>
      <c r="O140" s="69"/>
      <c r="P140" s="69"/>
      <c r="Q140" s="69"/>
      <c r="R140" s="69"/>
      <c r="S140" s="69"/>
      <c r="T140" s="69"/>
      <c r="U140" s="69"/>
      <c r="V140" s="69"/>
      <c r="W140" s="69"/>
      <c r="X140" s="69"/>
      <c r="Y140" s="69"/>
      <c r="Z140" s="69"/>
      <c r="AA140" s="69"/>
      <c r="AB140" s="69"/>
      <c r="AC140" s="69"/>
      <c r="AD140" s="69"/>
      <c r="AE140" s="69"/>
      <c r="AF140" s="69"/>
    </row>
    <row r="141" customFormat="false" ht="15" hidden="false" customHeight="false" outlineLevel="0" collapsed="false">
      <c r="B141" s="69"/>
      <c r="C141" s="69"/>
      <c r="D141" s="69"/>
      <c r="E141" s="69"/>
      <c r="F141" s="69"/>
      <c r="G141" s="69"/>
      <c r="H141" s="69"/>
      <c r="I141" s="69"/>
      <c r="J141" s="69"/>
      <c r="K141" s="69"/>
      <c r="L141" s="69"/>
      <c r="M141" s="69"/>
      <c r="N141" s="69"/>
      <c r="O141" s="69"/>
      <c r="P141" s="69"/>
      <c r="Q141" s="69"/>
      <c r="R141" s="69"/>
      <c r="S141" s="69"/>
      <c r="T141" s="69"/>
      <c r="U141" s="69"/>
      <c r="V141" s="69"/>
      <c r="W141" s="69"/>
      <c r="X141" s="69"/>
      <c r="Y141" s="69"/>
      <c r="Z141" s="69"/>
      <c r="AA141" s="69"/>
      <c r="AB141" s="69"/>
      <c r="AC141" s="69"/>
      <c r="AD141" s="69"/>
      <c r="AE141" s="69"/>
      <c r="AF141" s="69"/>
    </row>
    <row r="142" customFormat="false" ht="15" hidden="false" customHeight="false" outlineLevel="0" collapsed="false">
      <c r="B142" s="69"/>
      <c r="C142" s="69"/>
      <c r="D142" s="69"/>
      <c r="E142" s="69"/>
      <c r="F142" s="69"/>
      <c r="G142" s="69"/>
      <c r="H142" s="69"/>
      <c r="I142" s="69"/>
      <c r="J142" s="69"/>
      <c r="K142" s="69"/>
      <c r="L142" s="69"/>
      <c r="M142" s="69"/>
      <c r="N142" s="69"/>
      <c r="O142" s="69"/>
      <c r="P142" s="69"/>
      <c r="Q142" s="69"/>
      <c r="R142" s="69"/>
      <c r="S142" s="69"/>
      <c r="T142" s="69"/>
      <c r="U142" s="69"/>
      <c r="V142" s="69"/>
      <c r="W142" s="69"/>
      <c r="X142" s="69"/>
      <c r="Y142" s="69"/>
      <c r="Z142" s="69"/>
      <c r="AA142" s="69"/>
      <c r="AB142" s="69"/>
      <c r="AC142" s="69"/>
      <c r="AD142" s="69"/>
      <c r="AE142" s="69"/>
      <c r="AF142" s="69"/>
    </row>
    <row r="143" customFormat="false" ht="15" hidden="false" customHeight="false" outlineLevel="0" collapsed="false">
      <c r="B143" s="69"/>
      <c r="C143" s="69"/>
      <c r="D143" s="69"/>
      <c r="E143" s="69"/>
      <c r="F143" s="69"/>
      <c r="G143" s="69"/>
      <c r="H143" s="69"/>
      <c r="I143" s="69"/>
      <c r="J143" s="69"/>
      <c r="K143" s="69"/>
      <c r="L143" s="69"/>
      <c r="M143" s="69"/>
      <c r="N143" s="69"/>
      <c r="O143" s="69"/>
      <c r="P143" s="69"/>
      <c r="Q143" s="69"/>
      <c r="R143" s="69"/>
      <c r="S143" s="69"/>
      <c r="T143" s="69"/>
      <c r="U143" s="69"/>
      <c r="V143" s="69"/>
      <c r="W143" s="69"/>
      <c r="X143" s="69"/>
      <c r="Y143" s="69"/>
      <c r="Z143" s="69"/>
      <c r="AA143" s="69"/>
      <c r="AB143" s="69"/>
      <c r="AC143" s="69"/>
      <c r="AD143" s="69"/>
      <c r="AE143" s="69"/>
      <c r="AF143" s="69"/>
    </row>
    <row r="144" customFormat="false" ht="15" hidden="false" customHeight="false" outlineLevel="0" collapsed="false">
      <c r="B144" s="69"/>
      <c r="C144" s="69"/>
      <c r="D144" s="69"/>
      <c r="E144" s="69"/>
      <c r="F144" s="69"/>
      <c r="G144" s="69"/>
      <c r="H144" s="69"/>
      <c r="I144" s="69"/>
      <c r="J144" s="69"/>
      <c r="K144" s="69"/>
      <c r="L144" s="69"/>
      <c r="M144" s="69"/>
      <c r="N144" s="69"/>
      <c r="O144" s="69"/>
      <c r="P144" s="69"/>
      <c r="Q144" s="69"/>
      <c r="R144" s="69"/>
      <c r="S144" s="69"/>
      <c r="T144" s="69"/>
      <c r="U144" s="69"/>
      <c r="V144" s="69"/>
      <c r="W144" s="69"/>
      <c r="X144" s="69"/>
      <c r="Y144" s="69"/>
      <c r="Z144" s="69"/>
      <c r="AA144" s="69"/>
      <c r="AB144" s="69"/>
      <c r="AC144" s="69"/>
      <c r="AD144" s="69"/>
      <c r="AE144" s="69"/>
      <c r="AF144" s="69"/>
    </row>
    <row r="145" customFormat="false" ht="15" hidden="false" customHeight="false" outlineLevel="0" collapsed="false">
      <c r="B145" s="69"/>
      <c r="C145" s="69"/>
      <c r="D145" s="69"/>
      <c r="E145" s="69"/>
      <c r="F145" s="69"/>
      <c r="G145" s="69"/>
      <c r="H145" s="69"/>
      <c r="I145" s="69"/>
      <c r="J145" s="69"/>
      <c r="K145" s="69"/>
      <c r="L145" s="69"/>
      <c r="M145" s="69"/>
      <c r="N145" s="69"/>
      <c r="O145" s="69"/>
      <c r="P145" s="69"/>
      <c r="Q145" s="69"/>
      <c r="R145" s="69"/>
      <c r="S145" s="69"/>
      <c r="T145" s="69"/>
      <c r="U145" s="69"/>
      <c r="V145" s="69"/>
      <c r="W145" s="69"/>
      <c r="X145" s="69"/>
      <c r="Y145" s="69"/>
      <c r="Z145" s="69"/>
      <c r="AA145" s="69"/>
      <c r="AB145" s="69"/>
      <c r="AC145" s="69"/>
      <c r="AD145" s="69"/>
      <c r="AE145" s="69"/>
      <c r="AF145" s="69"/>
    </row>
    <row r="146" customFormat="false" ht="15" hidden="false" customHeight="false" outlineLevel="0" collapsed="false">
      <c r="B146" s="69"/>
      <c r="C146" s="69"/>
      <c r="D146" s="69"/>
      <c r="E146" s="69"/>
      <c r="F146" s="69"/>
      <c r="G146" s="69"/>
      <c r="H146" s="69"/>
      <c r="I146" s="69"/>
      <c r="J146" s="69"/>
      <c r="K146" s="69"/>
      <c r="L146" s="69"/>
      <c r="M146" s="69"/>
      <c r="N146" s="69"/>
      <c r="O146" s="69"/>
      <c r="P146" s="69"/>
      <c r="Q146" s="69"/>
      <c r="R146" s="69"/>
      <c r="S146" s="69"/>
      <c r="T146" s="69"/>
      <c r="U146" s="69"/>
      <c r="V146" s="69"/>
      <c r="W146" s="69"/>
      <c r="X146" s="69"/>
      <c r="Y146" s="69"/>
      <c r="Z146" s="69"/>
      <c r="AA146" s="69"/>
      <c r="AB146" s="69"/>
      <c r="AC146" s="69"/>
      <c r="AD146" s="69"/>
      <c r="AE146" s="69"/>
      <c r="AF146" s="69"/>
    </row>
    <row r="147" customFormat="false" ht="15" hidden="false" customHeight="false" outlineLevel="0" collapsed="false">
      <c r="B147" s="69"/>
      <c r="C147" s="69"/>
      <c r="D147" s="69"/>
      <c r="E147" s="69"/>
      <c r="F147" s="69"/>
      <c r="G147" s="69"/>
      <c r="H147" s="69"/>
      <c r="I147" s="69"/>
      <c r="J147" s="69"/>
      <c r="K147" s="69"/>
      <c r="L147" s="69"/>
      <c r="M147" s="69"/>
      <c r="N147" s="69"/>
      <c r="O147" s="69"/>
      <c r="P147" s="69"/>
      <c r="Q147" s="69"/>
      <c r="R147" s="69"/>
      <c r="S147" s="69"/>
      <c r="T147" s="69"/>
      <c r="U147" s="69"/>
      <c r="V147" s="69"/>
      <c r="W147" s="69"/>
      <c r="X147" s="69"/>
      <c r="Y147" s="69"/>
      <c r="Z147" s="69"/>
      <c r="AA147" s="69"/>
      <c r="AB147" s="69"/>
      <c r="AC147" s="69"/>
      <c r="AD147" s="69"/>
      <c r="AE147" s="69"/>
      <c r="AF147" s="69"/>
    </row>
    <row r="148" customFormat="false" ht="15" hidden="false" customHeight="false" outlineLevel="0" collapsed="false">
      <c r="B148" s="69"/>
      <c r="C148" s="69"/>
      <c r="D148" s="69"/>
      <c r="E148" s="69"/>
      <c r="F148" s="69"/>
      <c r="G148" s="69"/>
      <c r="H148" s="69"/>
      <c r="I148" s="69"/>
      <c r="J148" s="69"/>
      <c r="K148" s="69"/>
      <c r="L148" s="69"/>
      <c r="M148" s="69"/>
      <c r="N148" s="69"/>
      <c r="O148" s="69"/>
      <c r="P148" s="69"/>
      <c r="Q148" s="69"/>
      <c r="R148" s="69"/>
      <c r="S148" s="69"/>
      <c r="T148" s="69"/>
      <c r="U148" s="69"/>
      <c r="V148" s="69"/>
      <c r="W148" s="69"/>
      <c r="X148" s="69"/>
      <c r="Y148" s="69"/>
      <c r="Z148" s="69"/>
      <c r="AA148" s="69"/>
      <c r="AB148" s="69"/>
      <c r="AC148" s="69"/>
      <c r="AD148" s="69"/>
      <c r="AE148" s="69"/>
      <c r="AF148" s="69"/>
    </row>
    <row r="149" customFormat="false" ht="15" hidden="false" customHeight="false" outlineLevel="0" collapsed="false">
      <c r="B149" s="69"/>
      <c r="C149" s="69"/>
      <c r="D149" s="69"/>
      <c r="E149" s="69"/>
      <c r="F149" s="69"/>
      <c r="G149" s="69"/>
      <c r="H149" s="69"/>
      <c r="I149" s="69"/>
      <c r="J149" s="69"/>
      <c r="K149" s="69"/>
      <c r="L149" s="69"/>
      <c r="M149" s="69"/>
      <c r="N149" s="69"/>
      <c r="O149" s="69"/>
      <c r="P149" s="69"/>
      <c r="Q149" s="69"/>
      <c r="R149" s="69"/>
      <c r="S149" s="69"/>
      <c r="T149" s="69"/>
      <c r="U149" s="69"/>
      <c r="V149" s="69"/>
      <c r="W149" s="69"/>
      <c r="X149" s="69"/>
      <c r="Y149" s="69"/>
      <c r="Z149" s="69"/>
      <c r="AA149" s="69"/>
      <c r="AB149" s="69"/>
      <c r="AC149" s="69"/>
      <c r="AD149" s="69"/>
      <c r="AE149" s="69"/>
      <c r="AF149" s="69"/>
    </row>
    <row r="150" customFormat="false" ht="15" hidden="false" customHeight="false" outlineLevel="0" collapsed="false">
      <c r="B150" s="69"/>
      <c r="C150" s="69"/>
      <c r="D150" s="69"/>
      <c r="E150" s="69"/>
      <c r="F150" s="69"/>
      <c r="G150" s="69"/>
      <c r="H150" s="69"/>
      <c r="I150" s="69"/>
      <c r="J150" s="69"/>
      <c r="K150" s="69"/>
      <c r="L150" s="69"/>
      <c r="M150" s="69"/>
      <c r="N150" s="69"/>
      <c r="O150" s="69"/>
      <c r="P150" s="69"/>
      <c r="Q150" s="69"/>
      <c r="R150" s="69"/>
      <c r="S150" s="69"/>
      <c r="T150" s="69"/>
      <c r="U150" s="69"/>
      <c r="V150" s="69"/>
      <c r="W150" s="69"/>
      <c r="X150" s="69"/>
      <c r="Y150" s="69"/>
      <c r="Z150" s="69"/>
      <c r="AA150" s="69"/>
      <c r="AB150" s="69"/>
      <c r="AC150" s="69"/>
      <c r="AD150" s="69"/>
      <c r="AE150" s="69"/>
      <c r="AF150" s="69"/>
    </row>
    <row r="151" customFormat="false" ht="15" hidden="false" customHeight="false" outlineLevel="0" collapsed="false">
      <c r="B151" s="69"/>
      <c r="C151" s="69"/>
      <c r="D151" s="69"/>
      <c r="E151" s="69"/>
      <c r="F151" s="69"/>
      <c r="G151" s="69"/>
      <c r="H151" s="69"/>
      <c r="I151" s="69"/>
      <c r="J151" s="69"/>
      <c r="K151" s="69"/>
      <c r="L151" s="69"/>
      <c r="M151" s="69"/>
      <c r="N151" s="69"/>
      <c r="O151" s="69"/>
      <c r="P151" s="69"/>
      <c r="Q151" s="69"/>
      <c r="R151" s="69"/>
      <c r="S151" s="69"/>
      <c r="T151" s="69"/>
      <c r="U151" s="69"/>
      <c r="V151" s="69"/>
      <c r="W151" s="69"/>
      <c r="X151" s="69"/>
      <c r="Y151" s="69"/>
      <c r="Z151" s="69"/>
      <c r="AA151" s="69"/>
      <c r="AB151" s="69"/>
      <c r="AC151" s="69"/>
      <c r="AD151" s="69"/>
      <c r="AE151" s="69"/>
      <c r="AF151" s="69"/>
    </row>
    <row r="152" customFormat="false" ht="15" hidden="false" customHeight="false" outlineLevel="0" collapsed="false">
      <c r="B152" s="69"/>
      <c r="C152" s="69"/>
      <c r="D152" s="69"/>
      <c r="E152" s="69"/>
      <c r="F152" s="69"/>
      <c r="G152" s="69"/>
      <c r="H152" s="69"/>
      <c r="I152" s="69"/>
      <c r="J152" s="69"/>
      <c r="K152" s="69"/>
      <c r="L152" s="69"/>
      <c r="M152" s="69"/>
      <c r="N152" s="69"/>
      <c r="O152" s="69"/>
      <c r="P152" s="69"/>
      <c r="Q152" s="69"/>
      <c r="R152" s="69"/>
      <c r="S152" s="69"/>
      <c r="T152" s="69"/>
      <c r="U152" s="69"/>
      <c r="V152" s="69"/>
      <c r="W152" s="69"/>
      <c r="X152" s="69"/>
      <c r="Y152" s="69"/>
      <c r="Z152" s="69"/>
      <c r="AA152" s="69"/>
      <c r="AB152" s="69"/>
      <c r="AC152" s="69"/>
      <c r="AD152" s="69"/>
      <c r="AE152" s="69"/>
      <c r="AF152" s="69"/>
    </row>
    <row r="153" customFormat="false" ht="15" hidden="false" customHeight="false" outlineLevel="0" collapsed="false">
      <c r="B153" s="69"/>
      <c r="C153" s="69"/>
      <c r="D153" s="69"/>
      <c r="E153" s="69"/>
      <c r="F153" s="69"/>
      <c r="G153" s="69"/>
      <c r="H153" s="69"/>
      <c r="I153" s="69"/>
      <c r="J153" s="69"/>
      <c r="K153" s="69"/>
      <c r="L153" s="69"/>
      <c r="M153" s="69"/>
      <c r="N153" s="69"/>
      <c r="O153" s="69"/>
      <c r="P153" s="69"/>
      <c r="Q153" s="69"/>
      <c r="R153" s="69"/>
      <c r="S153" s="69"/>
      <c r="T153" s="69"/>
      <c r="U153" s="69"/>
      <c r="V153" s="69"/>
      <c r="W153" s="69"/>
      <c r="X153" s="69"/>
      <c r="Y153" s="69"/>
      <c r="Z153" s="69"/>
      <c r="AA153" s="69"/>
      <c r="AB153" s="69"/>
      <c r="AC153" s="69"/>
      <c r="AD153" s="69"/>
      <c r="AE153" s="69"/>
      <c r="AF153" s="69"/>
    </row>
    <row r="154" customFormat="false" ht="15" hidden="false" customHeight="false" outlineLevel="0" collapsed="false">
      <c r="B154" s="69"/>
      <c r="C154" s="69"/>
      <c r="D154" s="69"/>
      <c r="E154" s="69"/>
      <c r="F154" s="69"/>
      <c r="G154" s="69"/>
      <c r="H154" s="69"/>
      <c r="I154" s="69"/>
      <c r="J154" s="69"/>
      <c r="K154" s="69"/>
      <c r="L154" s="69"/>
      <c r="M154" s="69"/>
      <c r="N154" s="69"/>
      <c r="O154" s="69"/>
      <c r="P154" s="69"/>
      <c r="Q154" s="69"/>
      <c r="R154" s="69"/>
      <c r="S154" s="69"/>
      <c r="T154" s="69"/>
      <c r="U154" s="69"/>
      <c r="V154" s="69"/>
      <c r="W154" s="69"/>
      <c r="X154" s="69"/>
      <c r="Y154" s="69"/>
      <c r="Z154" s="69"/>
      <c r="AA154" s="69"/>
      <c r="AB154" s="69"/>
      <c r="AC154" s="69"/>
      <c r="AD154" s="69"/>
      <c r="AE154" s="69"/>
      <c r="AF154" s="69"/>
    </row>
    <row r="155" customFormat="false" ht="15" hidden="false" customHeight="false" outlineLevel="0" collapsed="false">
      <c r="B155" s="69"/>
      <c r="C155" s="69"/>
      <c r="D155" s="69"/>
      <c r="E155" s="69"/>
      <c r="F155" s="69"/>
      <c r="G155" s="69"/>
      <c r="H155" s="69"/>
      <c r="I155" s="69"/>
      <c r="J155" s="69"/>
      <c r="K155" s="69"/>
      <c r="L155" s="69"/>
      <c r="M155" s="69"/>
      <c r="N155" s="69"/>
      <c r="O155" s="69"/>
      <c r="P155" s="69"/>
      <c r="Q155" s="69"/>
      <c r="R155" s="69"/>
      <c r="S155" s="69"/>
      <c r="T155" s="69"/>
      <c r="U155" s="69"/>
      <c r="V155" s="69"/>
      <c r="W155" s="69"/>
      <c r="X155" s="69"/>
      <c r="Y155" s="69"/>
      <c r="Z155" s="69"/>
      <c r="AA155" s="69"/>
      <c r="AB155" s="69"/>
      <c r="AC155" s="69"/>
      <c r="AD155" s="69"/>
      <c r="AE155" s="69"/>
      <c r="AF155" s="69"/>
    </row>
    <row r="156" customFormat="false" ht="15" hidden="false" customHeight="false" outlineLevel="0" collapsed="false">
      <c r="B156" s="69"/>
      <c r="C156" s="69"/>
      <c r="D156" s="69"/>
      <c r="E156" s="69"/>
      <c r="F156" s="69"/>
      <c r="G156" s="69"/>
      <c r="H156" s="69"/>
      <c r="I156" s="69"/>
      <c r="J156" s="69"/>
      <c r="K156" s="69"/>
      <c r="L156" s="69"/>
      <c r="M156" s="69"/>
      <c r="N156" s="69"/>
      <c r="O156" s="69"/>
      <c r="P156" s="69"/>
      <c r="Q156" s="69"/>
      <c r="R156" s="69"/>
      <c r="S156" s="69"/>
      <c r="T156" s="69"/>
      <c r="U156" s="69"/>
      <c r="V156" s="69"/>
      <c r="W156" s="69"/>
      <c r="X156" s="69"/>
      <c r="Y156" s="69"/>
      <c r="Z156" s="69"/>
      <c r="AA156" s="69"/>
      <c r="AB156" s="69"/>
      <c r="AC156" s="69"/>
      <c r="AD156" s="69"/>
      <c r="AE156" s="69"/>
      <c r="AF156" s="69"/>
    </row>
    <row r="157" customFormat="false" ht="15" hidden="false" customHeight="false" outlineLevel="0" collapsed="false">
      <c r="B157" s="69"/>
      <c r="C157" s="69"/>
      <c r="D157" s="69"/>
      <c r="E157" s="69"/>
      <c r="F157" s="69"/>
      <c r="G157" s="69"/>
      <c r="H157" s="69"/>
      <c r="I157" s="69"/>
      <c r="J157" s="69"/>
      <c r="K157" s="69"/>
      <c r="L157" s="69"/>
      <c r="M157" s="69"/>
      <c r="N157" s="69"/>
      <c r="O157" s="69"/>
      <c r="P157" s="69"/>
      <c r="Q157" s="69"/>
      <c r="R157" s="69"/>
      <c r="S157" s="69"/>
      <c r="T157" s="69"/>
      <c r="U157" s="69"/>
      <c r="V157" s="69"/>
      <c r="W157" s="69"/>
      <c r="X157" s="69"/>
      <c r="Y157" s="69"/>
      <c r="Z157" s="69"/>
      <c r="AA157" s="69"/>
      <c r="AB157" s="69"/>
      <c r="AC157" s="69"/>
      <c r="AD157" s="69"/>
      <c r="AE157" s="69"/>
      <c r="AF157" s="69"/>
    </row>
    <row r="158" customFormat="false" ht="15" hidden="false" customHeight="false" outlineLevel="0" collapsed="false">
      <c r="B158" s="69"/>
      <c r="C158" s="69"/>
      <c r="D158" s="69"/>
      <c r="E158" s="69"/>
      <c r="F158" s="69"/>
      <c r="G158" s="69"/>
      <c r="H158" s="69"/>
      <c r="I158" s="69"/>
      <c r="J158" s="69"/>
      <c r="K158" s="69"/>
      <c r="L158" s="69"/>
      <c r="M158" s="69"/>
      <c r="N158" s="69"/>
      <c r="O158" s="69"/>
      <c r="P158" s="69"/>
      <c r="Q158" s="69"/>
      <c r="R158" s="69"/>
      <c r="S158" s="69"/>
      <c r="T158" s="69"/>
      <c r="U158" s="69"/>
      <c r="V158" s="69"/>
      <c r="W158" s="69"/>
      <c r="X158" s="69"/>
      <c r="Y158" s="69"/>
      <c r="Z158" s="69"/>
      <c r="AA158" s="69"/>
      <c r="AB158" s="69"/>
      <c r="AC158" s="69"/>
      <c r="AD158" s="69"/>
      <c r="AE158" s="69"/>
      <c r="AF158" s="69"/>
    </row>
    <row r="159" customFormat="false" ht="15" hidden="false" customHeight="false" outlineLevel="0" collapsed="false">
      <c r="B159" s="69"/>
      <c r="C159" s="69"/>
      <c r="D159" s="69"/>
      <c r="E159" s="69"/>
      <c r="F159" s="69"/>
      <c r="G159" s="69"/>
      <c r="H159" s="69"/>
      <c r="I159" s="69"/>
      <c r="J159" s="69"/>
      <c r="K159" s="69"/>
      <c r="L159" s="69"/>
      <c r="M159" s="69"/>
      <c r="N159" s="69"/>
      <c r="O159" s="69"/>
      <c r="P159" s="69"/>
      <c r="Q159" s="69"/>
      <c r="R159" s="69"/>
      <c r="S159" s="69"/>
      <c r="T159" s="69"/>
      <c r="U159" s="69"/>
      <c r="V159" s="69"/>
      <c r="W159" s="69"/>
      <c r="X159" s="69"/>
      <c r="Y159" s="69"/>
      <c r="Z159" s="69"/>
      <c r="AA159" s="69"/>
      <c r="AB159" s="69"/>
      <c r="AC159" s="69"/>
      <c r="AD159" s="69"/>
      <c r="AE159" s="69"/>
      <c r="AF159" s="69"/>
    </row>
    <row r="160" customFormat="false" ht="15" hidden="false" customHeight="false" outlineLevel="0" collapsed="false">
      <c r="B160" s="69"/>
      <c r="C160" s="69"/>
      <c r="D160" s="69"/>
      <c r="E160" s="69"/>
      <c r="F160" s="69"/>
      <c r="G160" s="69"/>
      <c r="H160" s="69"/>
      <c r="I160" s="69"/>
      <c r="J160" s="69"/>
      <c r="K160" s="69"/>
      <c r="L160" s="69"/>
      <c r="M160" s="69"/>
      <c r="N160" s="69"/>
      <c r="O160" s="69"/>
      <c r="P160" s="69"/>
      <c r="Q160" s="69"/>
      <c r="R160" s="69"/>
      <c r="S160" s="69"/>
      <c r="T160" s="69"/>
      <c r="U160" s="69"/>
      <c r="V160" s="69"/>
      <c r="W160" s="69"/>
      <c r="X160" s="69"/>
      <c r="Y160" s="69"/>
      <c r="Z160" s="69"/>
      <c r="AA160" s="69"/>
      <c r="AB160" s="69"/>
      <c r="AC160" s="69"/>
      <c r="AD160" s="69"/>
      <c r="AE160" s="69"/>
      <c r="AF160" s="69"/>
    </row>
    <row r="161" customFormat="false" ht="15" hidden="false" customHeight="false" outlineLevel="0" collapsed="false">
      <c r="B161" s="69"/>
      <c r="C161" s="69"/>
      <c r="D161" s="69"/>
      <c r="E161" s="69"/>
      <c r="F161" s="69"/>
      <c r="G161" s="69"/>
      <c r="H161" s="69"/>
      <c r="I161" s="69"/>
      <c r="J161" s="69"/>
      <c r="K161" s="69"/>
      <c r="L161" s="69"/>
      <c r="M161" s="69"/>
      <c r="N161" s="69"/>
      <c r="O161" s="69"/>
      <c r="P161" s="69"/>
      <c r="Q161" s="69"/>
      <c r="R161" s="69"/>
      <c r="S161" s="69"/>
      <c r="T161" s="69"/>
      <c r="U161" s="69"/>
      <c r="V161" s="69"/>
      <c r="W161" s="69"/>
      <c r="X161" s="69"/>
      <c r="Y161" s="69"/>
      <c r="Z161" s="69"/>
      <c r="AA161" s="69"/>
      <c r="AB161" s="69"/>
      <c r="AC161" s="69"/>
      <c r="AD161" s="69"/>
      <c r="AE161" s="69"/>
      <c r="AF161" s="69"/>
    </row>
    <row r="162" customFormat="false" ht="15" hidden="false" customHeight="false" outlineLevel="0" collapsed="false">
      <c r="B162" s="69"/>
      <c r="C162" s="69"/>
      <c r="D162" s="69"/>
      <c r="E162" s="69"/>
      <c r="F162" s="69"/>
      <c r="G162" s="69"/>
      <c r="H162" s="69"/>
      <c r="I162" s="69"/>
      <c r="J162" s="69"/>
      <c r="K162" s="69"/>
      <c r="L162" s="69"/>
      <c r="M162" s="69"/>
      <c r="N162" s="69"/>
      <c r="O162" s="69"/>
      <c r="P162" s="69"/>
      <c r="Q162" s="69"/>
      <c r="R162" s="69"/>
      <c r="S162" s="69"/>
      <c r="T162" s="69"/>
      <c r="U162" s="69"/>
      <c r="V162" s="69"/>
      <c r="W162" s="69"/>
      <c r="X162" s="69"/>
      <c r="Y162" s="69"/>
      <c r="Z162" s="69"/>
      <c r="AA162" s="69"/>
      <c r="AB162" s="69"/>
      <c r="AC162" s="69"/>
      <c r="AD162" s="69"/>
      <c r="AE162" s="69"/>
      <c r="AF162" s="69"/>
    </row>
    <row r="163" customFormat="false" ht="15" hidden="false" customHeight="false" outlineLevel="0" collapsed="false">
      <c r="B163" s="69"/>
      <c r="C163" s="69"/>
      <c r="D163" s="69"/>
      <c r="E163" s="69"/>
      <c r="F163" s="69"/>
      <c r="G163" s="69"/>
      <c r="H163" s="69"/>
      <c r="I163" s="69"/>
      <c r="J163" s="69"/>
      <c r="K163" s="69"/>
      <c r="L163" s="69"/>
      <c r="M163" s="69"/>
      <c r="N163" s="69"/>
      <c r="O163" s="69"/>
      <c r="P163" s="69"/>
      <c r="Q163" s="69"/>
      <c r="R163" s="69"/>
      <c r="S163" s="69"/>
      <c r="T163" s="69"/>
      <c r="U163" s="69"/>
      <c r="V163" s="69"/>
      <c r="W163" s="69"/>
      <c r="X163" s="69"/>
      <c r="Y163" s="69"/>
      <c r="Z163" s="69"/>
      <c r="AA163" s="69"/>
      <c r="AB163" s="69"/>
      <c r="AC163" s="69"/>
      <c r="AD163" s="69"/>
      <c r="AE163" s="69"/>
      <c r="AF163" s="69"/>
    </row>
    <row r="164" customFormat="false" ht="15" hidden="false" customHeight="false" outlineLevel="0" collapsed="false">
      <c r="B164" s="69"/>
      <c r="C164" s="69"/>
      <c r="D164" s="69"/>
      <c r="E164" s="69"/>
      <c r="F164" s="69"/>
      <c r="G164" s="69"/>
      <c r="H164" s="69"/>
      <c r="I164" s="69"/>
      <c r="J164" s="69"/>
      <c r="K164" s="69"/>
      <c r="L164" s="69"/>
      <c r="M164" s="69"/>
      <c r="N164" s="69"/>
      <c r="O164" s="69"/>
      <c r="P164" s="69"/>
      <c r="Q164" s="69"/>
      <c r="R164" s="69"/>
      <c r="S164" s="69"/>
      <c r="T164" s="69"/>
      <c r="U164" s="69"/>
      <c r="V164" s="69"/>
      <c r="W164" s="69"/>
      <c r="X164" s="69"/>
      <c r="Y164" s="69"/>
      <c r="Z164" s="69"/>
      <c r="AA164" s="69"/>
      <c r="AB164" s="69"/>
      <c r="AC164" s="69"/>
      <c r="AD164" s="69"/>
      <c r="AE164" s="69"/>
      <c r="AF164" s="69"/>
    </row>
    <row r="165" customFormat="false" ht="15" hidden="false" customHeight="false" outlineLevel="0" collapsed="false">
      <c r="B165" s="69"/>
      <c r="C165" s="69"/>
      <c r="D165" s="69"/>
      <c r="E165" s="69"/>
      <c r="F165" s="69"/>
      <c r="G165" s="69"/>
      <c r="H165" s="69"/>
      <c r="I165" s="69"/>
      <c r="J165" s="69"/>
      <c r="K165" s="69"/>
      <c r="L165" s="69"/>
      <c r="M165" s="69"/>
      <c r="N165" s="69"/>
      <c r="O165" s="69"/>
      <c r="P165" s="69"/>
      <c r="Q165" s="69"/>
      <c r="R165" s="69"/>
      <c r="S165" s="69"/>
      <c r="T165" s="69"/>
      <c r="U165" s="69"/>
      <c r="V165" s="69"/>
      <c r="W165" s="69"/>
      <c r="X165" s="69"/>
      <c r="Y165" s="69"/>
      <c r="Z165" s="69"/>
      <c r="AA165" s="69"/>
      <c r="AB165" s="69"/>
      <c r="AC165" s="69"/>
      <c r="AD165" s="69"/>
      <c r="AE165" s="69"/>
      <c r="AF165" s="69"/>
    </row>
    <row r="166" customFormat="false" ht="15" hidden="false" customHeight="false" outlineLevel="0" collapsed="false">
      <c r="B166" s="69"/>
      <c r="C166" s="69"/>
      <c r="D166" s="69"/>
      <c r="E166" s="69"/>
      <c r="F166" s="69"/>
      <c r="G166" s="69"/>
      <c r="H166" s="69"/>
      <c r="I166" s="69"/>
      <c r="J166" s="69"/>
      <c r="K166" s="69"/>
      <c r="L166" s="69"/>
      <c r="M166" s="69"/>
      <c r="N166" s="69"/>
      <c r="O166" s="69"/>
      <c r="P166" s="69"/>
      <c r="Q166" s="69"/>
      <c r="R166" s="69"/>
      <c r="S166" s="69"/>
      <c r="T166" s="69"/>
      <c r="U166" s="69"/>
      <c r="V166" s="69"/>
      <c r="W166" s="69"/>
      <c r="X166" s="69"/>
      <c r="Y166" s="69"/>
      <c r="Z166" s="69"/>
      <c r="AA166" s="69"/>
      <c r="AB166" s="69"/>
      <c r="AC166" s="69"/>
      <c r="AD166" s="69"/>
      <c r="AE166" s="69"/>
      <c r="AF166" s="69"/>
    </row>
    <row r="167" customFormat="false" ht="15" hidden="false" customHeight="false" outlineLevel="0" collapsed="false">
      <c r="B167" s="69"/>
      <c r="C167" s="69"/>
      <c r="D167" s="69"/>
      <c r="E167" s="69"/>
      <c r="F167" s="69"/>
      <c r="G167" s="69"/>
      <c r="H167" s="69"/>
      <c r="I167" s="69"/>
      <c r="J167" s="69"/>
      <c r="K167" s="69"/>
      <c r="L167" s="69"/>
      <c r="M167" s="69"/>
      <c r="N167" s="69"/>
      <c r="O167" s="69"/>
      <c r="P167" s="69"/>
      <c r="Q167" s="69"/>
      <c r="R167" s="69"/>
      <c r="S167" s="69"/>
      <c r="T167" s="69"/>
      <c r="U167" s="69"/>
      <c r="V167" s="69"/>
      <c r="W167" s="69"/>
      <c r="X167" s="69"/>
      <c r="Y167" s="69"/>
      <c r="Z167" s="69"/>
      <c r="AA167" s="69"/>
      <c r="AB167" s="69"/>
      <c r="AC167" s="69"/>
      <c r="AD167" s="69"/>
      <c r="AE167" s="69"/>
      <c r="AF167" s="69"/>
    </row>
    <row r="168" customFormat="false" ht="15" hidden="false" customHeight="false" outlineLevel="0" collapsed="false">
      <c r="B168" s="69"/>
      <c r="C168" s="69"/>
      <c r="D168" s="69"/>
      <c r="E168" s="69"/>
      <c r="F168" s="69"/>
      <c r="G168" s="69"/>
      <c r="H168" s="69"/>
      <c r="I168" s="69"/>
      <c r="J168" s="69"/>
      <c r="K168" s="69"/>
      <c r="L168" s="69"/>
      <c r="M168" s="69"/>
      <c r="N168" s="69"/>
      <c r="O168" s="69"/>
      <c r="P168" s="69"/>
      <c r="Q168" s="69"/>
      <c r="R168" s="69"/>
      <c r="S168" s="69"/>
      <c r="T168" s="69"/>
      <c r="U168" s="69"/>
      <c r="V168" s="69"/>
      <c r="W168" s="69"/>
      <c r="X168" s="69"/>
      <c r="Y168" s="69"/>
      <c r="Z168" s="69"/>
      <c r="AA168" s="69"/>
      <c r="AB168" s="69"/>
      <c r="AC168" s="69"/>
      <c r="AD168" s="69"/>
      <c r="AE168" s="69"/>
      <c r="AF168" s="69"/>
    </row>
    <row r="169" customFormat="false" ht="15" hidden="false" customHeight="false" outlineLevel="0" collapsed="false">
      <c r="B169" s="69"/>
      <c r="C169" s="69"/>
      <c r="D169" s="69"/>
      <c r="E169" s="69"/>
      <c r="F169" s="69"/>
      <c r="G169" s="69"/>
      <c r="H169" s="69"/>
      <c r="I169" s="69"/>
      <c r="J169" s="69"/>
      <c r="K169" s="69"/>
      <c r="L169" s="69"/>
      <c r="M169" s="69"/>
      <c r="N169" s="69"/>
      <c r="O169" s="69"/>
      <c r="P169" s="69"/>
      <c r="Q169" s="69"/>
      <c r="R169" s="69"/>
      <c r="S169" s="69"/>
      <c r="T169" s="69"/>
      <c r="U169" s="69"/>
      <c r="V169" s="69"/>
      <c r="W169" s="69"/>
      <c r="X169" s="69"/>
      <c r="Y169" s="69"/>
      <c r="Z169" s="69"/>
      <c r="AA169" s="69"/>
      <c r="AB169" s="69"/>
      <c r="AC169" s="69"/>
      <c r="AD169" s="69"/>
      <c r="AE169" s="69"/>
      <c r="AF169" s="69"/>
    </row>
    <row r="170" customFormat="false" ht="15" hidden="false" customHeight="false" outlineLevel="0" collapsed="false">
      <c r="B170" s="69"/>
      <c r="C170" s="69"/>
      <c r="D170" s="69"/>
      <c r="E170" s="69"/>
      <c r="F170" s="69"/>
      <c r="G170" s="69"/>
      <c r="H170" s="69"/>
      <c r="I170" s="69"/>
      <c r="J170" s="69"/>
      <c r="K170" s="69"/>
      <c r="L170" s="69"/>
      <c r="M170" s="69"/>
      <c r="N170" s="69"/>
      <c r="O170" s="69"/>
      <c r="P170" s="69"/>
      <c r="Q170" s="69"/>
      <c r="R170" s="69"/>
      <c r="S170" s="69"/>
      <c r="T170" s="69"/>
      <c r="U170" s="69"/>
      <c r="V170" s="69"/>
      <c r="W170" s="69"/>
      <c r="X170" s="69"/>
      <c r="Y170" s="69"/>
      <c r="Z170" s="69"/>
      <c r="AA170" s="69"/>
      <c r="AB170" s="69"/>
      <c r="AC170" s="69"/>
      <c r="AD170" s="69"/>
      <c r="AE170" s="69"/>
      <c r="AF170" s="69"/>
    </row>
    <row r="171" customFormat="false" ht="15" hidden="false" customHeight="false" outlineLevel="0" collapsed="false">
      <c r="B171" s="69"/>
      <c r="C171" s="69"/>
      <c r="D171" s="69"/>
      <c r="E171" s="69"/>
      <c r="F171" s="69"/>
      <c r="G171" s="69"/>
      <c r="H171" s="69"/>
      <c r="I171" s="69"/>
      <c r="J171" s="69"/>
      <c r="K171" s="69"/>
      <c r="L171" s="69"/>
      <c r="M171" s="69"/>
      <c r="N171" s="69"/>
      <c r="O171" s="69"/>
      <c r="P171" s="69"/>
      <c r="Q171" s="69"/>
      <c r="R171" s="69"/>
      <c r="S171" s="69"/>
      <c r="T171" s="69"/>
      <c r="U171" s="69"/>
      <c r="V171" s="69"/>
      <c r="W171" s="69"/>
      <c r="X171" s="69"/>
      <c r="Y171" s="69"/>
      <c r="Z171" s="69"/>
      <c r="AA171" s="69"/>
      <c r="AB171" s="69"/>
      <c r="AC171" s="69"/>
      <c r="AD171" s="69"/>
      <c r="AE171" s="69"/>
      <c r="AF171" s="69"/>
    </row>
    <row r="172" customFormat="false" ht="15" hidden="false" customHeight="false" outlineLevel="0" collapsed="false">
      <c r="B172" s="69"/>
      <c r="C172" s="69"/>
      <c r="D172" s="69"/>
      <c r="E172" s="69"/>
      <c r="F172" s="69"/>
      <c r="G172" s="69"/>
      <c r="H172" s="69"/>
      <c r="I172" s="69"/>
      <c r="J172" s="69"/>
      <c r="K172" s="69"/>
      <c r="L172" s="69"/>
      <c r="M172" s="69"/>
      <c r="N172" s="69"/>
      <c r="O172" s="69"/>
      <c r="P172" s="69"/>
      <c r="Q172" s="69"/>
      <c r="R172" s="69"/>
      <c r="S172" s="69"/>
      <c r="T172" s="69"/>
      <c r="U172" s="69"/>
      <c r="V172" s="69"/>
      <c r="W172" s="69"/>
      <c r="X172" s="69"/>
      <c r="Y172" s="69"/>
      <c r="Z172" s="69"/>
      <c r="AA172" s="69"/>
      <c r="AB172" s="69"/>
      <c r="AC172" s="69"/>
      <c r="AD172" s="69"/>
      <c r="AE172" s="69"/>
      <c r="AF172" s="69"/>
    </row>
    <row r="173" customFormat="false" ht="15" hidden="false" customHeight="false" outlineLevel="0" collapsed="false">
      <c r="B173" s="69"/>
      <c r="C173" s="69"/>
      <c r="D173" s="69"/>
      <c r="E173" s="69"/>
      <c r="F173" s="69"/>
      <c r="G173" s="69"/>
      <c r="H173" s="69"/>
      <c r="I173" s="69"/>
      <c r="J173" s="69"/>
      <c r="K173" s="69"/>
      <c r="L173" s="69"/>
      <c r="M173" s="69"/>
      <c r="N173" s="69"/>
      <c r="O173" s="69"/>
      <c r="P173" s="69"/>
      <c r="Q173" s="69"/>
      <c r="R173" s="69"/>
      <c r="S173" s="69"/>
      <c r="T173" s="69"/>
      <c r="U173" s="69"/>
      <c r="V173" s="69"/>
      <c r="W173" s="69"/>
      <c r="X173" s="69"/>
      <c r="Y173" s="69"/>
      <c r="Z173" s="69"/>
      <c r="AA173" s="69"/>
      <c r="AB173" s="69"/>
      <c r="AC173" s="69"/>
      <c r="AD173" s="69"/>
      <c r="AE173" s="69"/>
      <c r="AF173" s="69"/>
    </row>
    <row r="174" customFormat="false" ht="15" hidden="false" customHeight="false" outlineLevel="0" collapsed="false">
      <c r="B174" s="69"/>
      <c r="C174" s="69"/>
      <c r="D174" s="69"/>
      <c r="E174" s="69"/>
      <c r="F174" s="69"/>
      <c r="G174" s="69"/>
      <c r="H174" s="69"/>
      <c r="I174" s="69"/>
      <c r="J174" s="69"/>
      <c r="K174" s="69"/>
      <c r="L174" s="69"/>
      <c r="M174" s="69"/>
      <c r="N174" s="69"/>
      <c r="O174" s="69"/>
      <c r="P174" s="69"/>
      <c r="Q174" s="69"/>
      <c r="R174" s="69"/>
      <c r="S174" s="69"/>
      <c r="T174" s="69"/>
      <c r="U174" s="69"/>
      <c r="V174" s="69"/>
      <c r="W174" s="69"/>
      <c r="X174" s="69"/>
      <c r="Y174" s="69"/>
      <c r="Z174" s="69"/>
      <c r="AA174" s="69"/>
      <c r="AB174" s="69"/>
      <c r="AC174" s="69"/>
      <c r="AD174" s="69"/>
      <c r="AE174" s="69"/>
      <c r="AF174" s="69"/>
    </row>
    <row r="175" customFormat="false" ht="15" hidden="false" customHeight="false" outlineLevel="0" collapsed="false">
      <c r="B175" s="69"/>
      <c r="C175" s="69"/>
      <c r="D175" s="69"/>
      <c r="E175" s="69"/>
      <c r="F175" s="69"/>
      <c r="G175" s="69"/>
      <c r="H175" s="69"/>
      <c r="I175" s="69"/>
      <c r="J175" s="69"/>
      <c r="K175" s="69"/>
      <c r="L175" s="69"/>
      <c r="M175" s="69"/>
      <c r="N175" s="69"/>
      <c r="O175" s="69"/>
      <c r="P175" s="69"/>
      <c r="Q175" s="69"/>
      <c r="R175" s="69"/>
      <c r="S175" s="69"/>
      <c r="T175" s="69"/>
      <c r="U175" s="69"/>
      <c r="V175" s="69"/>
      <c r="W175" s="69"/>
      <c r="X175" s="69"/>
      <c r="Y175" s="69"/>
      <c r="Z175" s="69"/>
      <c r="AA175" s="69"/>
      <c r="AB175" s="69"/>
      <c r="AC175" s="69"/>
      <c r="AD175" s="69"/>
      <c r="AE175" s="69"/>
      <c r="AF175" s="69"/>
    </row>
    <row r="176" customFormat="false" ht="15" hidden="false" customHeight="false" outlineLevel="0" collapsed="false">
      <c r="B176" s="69"/>
      <c r="C176" s="69"/>
      <c r="D176" s="69"/>
      <c r="E176" s="69"/>
      <c r="F176" s="69"/>
      <c r="G176" s="69"/>
      <c r="H176" s="69"/>
      <c r="I176" s="69"/>
      <c r="J176" s="69"/>
      <c r="K176" s="69"/>
      <c r="L176" s="69"/>
      <c r="M176" s="69"/>
      <c r="N176" s="69"/>
      <c r="O176" s="69"/>
      <c r="P176" s="69"/>
      <c r="Q176" s="69"/>
      <c r="R176" s="69"/>
      <c r="S176" s="69"/>
      <c r="T176" s="69"/>
      <c r="U176" s="69"/>
      <c r="V176" s="69"/>
      <c r="W176" s="69"/>
      <c r="X176" s="69"/>
      <c r="Y176" s="69"/>
      <c r="Z176" s="69"/>
      <c r="AA176" s="69"/>
      <c r="AB176" s="69"/>
      <c r="AC176" s="69"/>
      <c r="AD176" s="69"/>
      <c r="AE176" s="69"/>
      <c r="AF176" s="69"/>
    </row>
    <row r="177" customFormat="false" ht="15" hidden="false" customHeight="false" outlineLevel="0" collapsed="false">
      <c r="B177" s="69"/>
      <c r="C177" s="69"/>
      <c r="D177" s="69"/>
      <c r="E177" s="69"/>
      <c r="F177" s="69"/>
      <c r="G177" s="69"/>
      <c r="H177" s="69"/>
      <c r="I177" s="69"/>
      <c r="J177" s="69"/>
      <c r="K177" s="69"/>
      <c r="L177" s="69"/>
      <c r="M177" s="69"/>
      <c r="N177" s="69"/>
      <c r="O177" s="69"/>
      <c r="P177" s="69"/>
      <c r="Q177" s="69"/>
      <c r="R177" s="69"/>
      <c r="S177" s="69"/>
      <c r="T177" s="69"/>
      <c r="U177" s="69"/>
      <c r="V177" s="69"/>
      <c r="W177" s="69"/>
      <c r="X177" s="69"/>
      <c r="Y177" s="69"/>
      <c r="Z177" s="69"/>
      <c r="AA177" s="69"/>
      <c r="AB177" s="69"/>
      <c r="AC177" s="69"/>
      <c r="AD177" s="69"/>
      <c r="AE177" s="69"/>
      <c r="AF177" s="69"/>
    </row>
    <row r="178" customFormat="false" ht="15" hidden="false" customHeight="false" outlineLevel="0" collapsed="false">
      <c r="B178" s="69"/>
      <c r="C178" s="69"/>
      <c r="D178" s="69"/>
      <c r="E178" s="69"/>
      <c r="F178" s="69"/>
      <c r="G178" s="69"/>
      <c r="H178" s="69"/>
      <c r="I178" s="69"/>
      <c r="J178" s="69"/>
      <c r="K178" s="69"/>
      <c r="L178" s="69"/>
      <c r="M178" s="69"/>
      <c r="N178" s="69"/>
      <c r="O178" s="69"/>
      <c r="P178" s="69"/>
      <c r="Q178" s="69"/>
      <c r="R178" s="69"/>
      <c r="S178" s="69"/>
      <c r="T178" s="69"/>
      <c r="U178" s="69"/>
      <c r="V178" s="69"/>
      <c r="W178" s="69"/>
      <c r="X178" s="69"/>
      <c r="Y178" s="69"/>
      <c r="Z178" s="69"/>
      <c r="AA178" s="69"/>
      <c r="AB178" s="69"/>
      <c r="AC178" s="69"/>
      <c r="AD178" s="69"/>
      <c r="AE178" s="69"/>
      <c r="AF178" s="69"/>
    </row>
    <row r="179" customFormat="false" ht="15" hidden="false" customHeight="false" outlineLevel="0" collapsed="false">
      <c r="B179" s="69"/>
      <c r="C179" s="69"/>
      <c r="D179" s="69"/>
      <c r="E179" s="69"/>
      <c r="F179" s="69"/>
      <c r="G179" s="69"/>
      <c r="H179" s="69"/>
      <c r="I179" s="69"/>
      <c r="J179" s="69"/>
      <c r="K179" s="69"/>
      <c r="L179" s="69"/>
      <c r="M179" s="69"/>
      <c r="N179" s="69"/>
      <c r="O179" s="69"/>
      <c r="P179" s="69"/>
      <c r="Q179" s="69"/>
      <c r="R179" s="69"/>
      <c r="S179" s="69"/>
      <c r="T179" s="69"/>
      <c r="U179" s="69"/>
      <c r="V179" s="69"/>
      <c r="W179" s="69"/>
      <c r="X179" s="69"/>
      <c r="Y179" s="69"/>
      <c r="Z179" s="69"/>
      <c r="AA179" s="69"/>
      <c r="AB179" s="69"/>
      <c r="AC179" s="69"/>
      <c r="AD179" s="69"/>
      <c r="AE179" s="69"/>
      <c r="AF179" s="69"/>
    </row>
    <row r="180" customFormat="false" ht="15" hidden="false" customHeight="false" outlineLevel="0" collapsed="false">
      <c r="B180" s="69"/>
      <c r="C180" s="69"/>
      <c r="D180" s="69"/>
      <c r="E180" s="69"/>
      <c r="F180" s="69"/>
      <c r="G180" s="69"/>
      <c r="H180" s="69"/>
      <c r="I180" s="69"/>
      <c r="J180" s="69"/>
      <c r="K180" s="69"/>
      <c r="L180" s="69"/>
      <c r="M180" s="69"/>
      <c r="N180" s="69"/>
      <c r="O180" s="69"/>
      <c r="P180" s="69"/>
      <c r="Q180" s="69"/>
      <c r="R180" s="69"/>
      <c r="S180" s="69"/>
      <c r="T180" s="69"/>
      <c r="U180" s="69"/>
      <c r="V180" s="69"/>
      <c r="W180" s="69"/>
      <c r="X180" s="69"/>
      <c r="Y180" s="69"/>
      <c r="Z180" s="69"/>
      <c r="AA180" s="69"/>
      <c r="AB180" s="69"/>
      <c r="AC180" s="69"/>
      <c r="AD180" s="69"/>
      <c r="AE180" s="69"/>
      <c r="AF180" s="69"/>
    </row>
    <row r="181" customFormat="false" ht="15" hidden="false" customHeight="false" outlineLevel="0" collapsed="false">
      <c r="B181" s="69"/>
      <c r="C181" s="69"/>
      <c r="D181" s="69"/>
      <c r="E181" s="69"/>
      <c r="F181" s="69"/>
      <c r="G181" s="69"/>
      <c r="H181" s="69"/>
      <c r="I181" s="69"/>
      <c r="J181" s="69"/>
      <c r="K181" s="69"/>
      <c r="L181" s="69"/>
      <c r="M181" s="69"/>
      <c r="N181" s="69"/>
      <c r="O181" s="69"/>
      <c r="P181" s="69"/>
      <c r="Q181" s="69"/>
      <c r="R181" s="69"/>
      <c r="S181" s="69"/>
      <c r="T181" s="69"/>
      <c r="U181" s="69"/>
      <c r="V181" s="69"/>
      <c r="W181" s="69"/>
      <c r="X181" s="69"/>
      <c r="Y181" s="69"/>
      <c r="Z181" s="69"/>
      <c r="AA181" s="69"/>
      <c r="AB181" s="69"/>
      <c r="AC181" s="69"/>
      <c r="AD181" s="69"/>
      <c r="AE181" s="69"/>
      <c r="AF181" s="69"/>
    </row>
    <row r="182" customFormat="false" ht="15" hidden="false" customHeight="false" outlineLevel="0" collapsed="false">
      <c r="B182" s="69"/>
      <c r="C182" s="69"/>
      <c r="D182" s="69"/>
      <c r="E182" s="69"/>
      <c r="F182" s="69"/>
      <c r="G182" s="69"/>
      <c r="H182" s="69"/>
      <c r="I182" s="69"/>
      <c r="J182" s="69"/>
      <c r="K182" s="69"/>
      <c r="L182" s="69"/>
      <c r="M182" s="69"/>
      <c r="N182" s="69"/>
      <c r="O182" s="69"/>
      <c r="P182" s="69"/>
      <c r="Q182" s="69"/>
      <c r="R182" s="69"/>
      <c r="S182" s="69"/>
      <c r="T182" s="69"/>
      <c r="U182" s="69"/>
      <c r="V182" s="69"/>
      <c r="W182" s="69"/>
      <c r="X182" s="69"/>
      <c r="Y182" s="69"/>
      <c r="Z182" s="69"/>
      <c r="AA182" s="69"/>
      <c r="AB182" s="69"/>
      <c r="AC182" s="69"/>
      <c r="AD182" s="69"/>
      <c r="AE182" s="69"/>
      <c r="AF182" s="69"/>
    </row>
    <row r="183" customFormat="false" ht="15" hidden="false" customHeight="false" outlineLevel="0" collapsed="false">
      <c r="B183" s="69"/>
      <c r="C183" s="69"/>
      <c r="D183" s="69"/>
      <c r="E183" s="69"/>
      <c r="F183" s="69"/>
      <c r="G183" s="69"/>
      <c r="H183" s="69"/>
      <c r="I183" s="69"/>
      <c r="J183" s="69"/>
      <c r="K183" s="69"/>
      <c r="L183" s="69"/>
      <c r="M183" s="69"/>
      <c r="N183" s="69"/>
      <c r="O183" s="69"/>
      <c r="P183" s="69"/>
      <c r="Q183" s="69"/>
      <c r="R183" s="69"/>
      <c r="S183" s="69"/>
      <c r="T183" s="69"/>
      <c r="U183" s="69"/>
      <c r="V183" s="69"/>
      <c r="W183" s="69"/>
      <c r="X183" s="69"/>
      <c r="Y183" s="69"/>
      <c r="Z183" s="69"/>
      <c r="AA183" s="69"/>
      <c r="AB183" s="69"/>
      <c r="AC183" s="69"/>
      <c r="AD183" s="69"/>
      <c r="AE183" s="69"/>
      <c r="AF183" s="69"/>
    </row>
    <row r="184" customFormat="false" ht="15" hidden="false" customHeight="false" outlineLevel="0" collapsed="false">
      <c r="B184" s="69"/>
      <c r="C184" s="69"/>
      <c r="D184" s="69"/>
      <c r="E184" s="69"/>
      <c r="F184" s="69"/>
      <c r="G184" s="69"/>
      <c r="H184" s="69"/>
      <c r="I184" s="69"/>
      <c r="J184" s="69"/>
      <c r="K184" s="69"/>
      <c r="L184" s="69"/>
      <c r="M184" s="69"/>
      <c r="N184" s="69"/>
      <c r="O184" s="69"/>
      <c r="P184" s="69"/>
      <c r="Q184" s="69"/>
      <c r="R184" s="69"/>
      <c r="S184" s="69"/>
      <c r="T184" s="69"/>
      <c r="U184" s="69"/>
      <c r="V184" s="69"/>
      <c r="W184" s="69"/>
      <c r="X184" s="69"/>
      <c r="Y184" s="69"/>
      <c r="Z184" s="69"/>
      <c r="AA184" s="69"/>
      <c r="AB184" s="69"/>
      <c r="AC184" s="69"/>
      <c r="AD184" s="69"/>
      <c r="AE184" s="69"/>
      <c r="AF184" s="69"/>
    </row>
    <row r="185" customFormat="false" ht="15" hidden="false" customHeight="false" outlineLevel="0" collapsed="false">
      <c r="B185" s="69"/>
      <c r="C185" s="69"/>
      <c r="D185" s="69"/>
      <c r="E185" s="69"/>
      <c r="F185" s="69"/>
      <c r="G185" s="69"/>
      <c r="H185" s="69"/>
      <c r="I185" s="69"/>
      <c r="J185" s="69"/>
      <c r="K185" s="69"/>
      <c r="L185" s="69"/>
      <c r="M185" s="69"/>
      <c r="N185" s="69"/>
      <c r="O185" s="69"/>
      <c r="P185" s="69"/>
      <c r="Q185" s="69"/>
      <c r="R185" s="69"/>
      <c r="S185" s="69"/>
      <c r="T185" s="69"/>
      <c r="U185" s="69"/>
      <c r="V185" s="69"/>
      <c r="W185" s="69"/>
      <c r="X185" s="69"/>
      <c r="Y185" s="69"/>
      <c r="Z185" s="69"/>
      <c r="AA185" s="69"/>
      <c r="AB185" s="69"/>
      <c r="AC185" s="69"/>
      <c r="AD185" s="69"/>
      <c r="AE185" s="69"/>
      <c r="AF185" s="69"/>
    </row>
    <row r="186" customFormat="false" ht="15" hidden="false" customHeight="false" outlineLevel="0" collapsed="false">
      <c r="B186" s="69"/>
      <c r="C186" s="69"/>
      <c r="D186" s="69"/>
      <c r="E186" s="69"/>
      <c r="F186" s="69"/>
      <c r="G186" s="69"/>
      <c r="H186" s="69"/>
      <c r="I186" s="69"/>
      <c r="J186" s="69"/>
      <c r="K186" s="69"/>
      <c r="L186" s="69"/>
      <c r="M186" s="69"/>
      <c r="N186" s="69"/>
      <c r="O186" s="69"/>
      <c r="P186" s="69"/>
      <c r="Q186" s="69"/>
      <c r="R186" s="69"/>
      <c r="S186" s="69"/>
      <c r="T186" s="69"/>
      <c r="U186" s="69"/>
      <c r="V186" s="69"/>
      <c r="W186" s="69"/>
      <c r="X186" s="69"/>
      <c r="Y186" s="69"/>
      <c r="Z186" s="69"/>
      <c r="AA186" s="69"/>
      <c r="AB186" s="69"/>
      <c r="AC186" s="69"/>
      <c r="AD186" s="69"/>
      <c r="AE186" s="69"/>
      <c r="AF186" s="69"/>
    </row>
    <row r="187" customFormat="false" ht="15" hidden="false" customHeight="false" outlineLevel="0" collapsed="false">
      <c r="B187" s="69"/>
      <c r="C187" s="69"/>
      <c r="D187" s="69"/>
      <c r="E187" s="69"/>
      <c r="F187" s="69"/>
      <c r="G187" s="69"/>
      <c r="H187" s="69"/>
      <c r="I187" s="69"/>
      <c r="J187" s="69"/>
      <c r="K187" s="69"/>
      <c r="L187" s="69"/>
      <c r="M187" s="69"/>
      <c r="N187" s="69"/>
      <c r="O187" s="69"/>
      <c r="P187" s="69"/>
      <c r="Q187" s="69"/>
      <c r="R187" s="69"/>
      <c r="S187" s="69"/>
      <c r="T187" s="69"/>
      <c r="U187" s="69"/>
      <c r="V187" s="69"/>
      <c r="W187" s="69"/>
      <c r="X187" s="69"/>
      <c r="Y187" s="69"/>
      <c r="Z187" s="69"/>
      <c r="AA187" s="69"/>
      <c r="AB187" s="69"/>
      <c r="AC187" s="69"/>
      <c r="AD187" s="69"/>
      <c r="AE187" s="69"/>
      <c r="AF187" s="69"/>
    </row>
    <row r="188" customFormat="false" ht="15" hidden="false" customHeight="false" outlineLevel="0" collapsed="false">
      <c r="B188" s="69"/>
      <c r="C188" s="69"/>
      <c r="D188" s="69"/>
      <c r="E188" s="69"/>
      <c r="F188" s="69"/>
      <c r="G188" s="69"/>
      <c r="H188" s="69"/>
      <c r="I188" s="69"/>
      <c r="J188" s="69"/>
      <c r="K188" s="69"/>
      <c r="L188" s="69"/>
      <c r="M188" s="69"/>
      <c r="N188" s="69"/>
      <c r="O188" s="69"/>
      <c r="P188" s="69"/>
      <c r="Q188" s="69"/>
      <c r="R188" s="69"/>
      <c r="S188" s="69"/>
      <c r="T188" s="69"/>
      <c r="U188" s="69"/>
      <c r="V188" s="69"/>
      <c r="W188" s="69"/>
      <c r="X188" s="69"/>
      <c r="Y188" s="69"/>
      <c r="Z188" s="69"/>
      <c r="AA188" s="69"/>
      <c r="AB188" s="69"/>
      <c r="AC188" s="69"/>
      <c r="AD188" s="69"/>
      <c r="AE188" s="69"/>
      <c r="AF188" s="69"/>
    </row>
    <row r="189" customFormat="false" ht="15" hidden="false" customHeight="false" outlineLevel="0" collapsed="false">
      <c r="B189" s="69"/>
      <c r="C189" s="69"/>
      <c r="D189" s="69"/>
      <c r="E189" s="69"/>
      <c r="F189" s="69"/>
      <c r="G189" s="69"/>
      <c r="H189" s="69"/>
      <c r="I189" s="69"/>
      <c r="J189" s="69"/>
      <c r="K189" s="69"/>
      <c r="L189" s="69"/>
      <c r="M189" s="69"/>
      <c r="N189" s="69"/>
      <c r="O189" s="69"/>
      <c r="P189" s="69"/>
      <c r="Q189" s="69"/>
      <c r="R189" s="69"/>
      <c r="S189" s="69"/>
      <c r="T189" s="69"/>
      <c r="U189" s="69"/>
      <c r="V189" s="69"/>
      <c r="W189" s="69"/>
      <c r="X189" s="69"/>
      <c r="Y189" s="69"/>
      <c r="Z189" s="69"/>
      <c r="AA189" s="69"/>
      <c r="AB189" s="69"/>
      <c r="AC189" s="69"/>
      <c r="AD189" s="69"/>
      <c r="AE189" s="69"/>
      <c r="AF189" s="69"/>
    </row>
    <row r="190" customFormat="false" ht="15" hidden="false" customHeight="false" outlineLevel="0" collapsed="false">
      <c r="B190" s="69"/>
      <c r="C190" s="69"/>
      <c r="D190" s="69"/>
      <c r="E190" s="69"/>
      <c r="F190" s="69"/>
      <c r="G190" s="69"/>
      <c r="H190" s="69"/>
      <c r="I190" s="69"/>
      <c r="J190" s="69"/>
      <c r="K190" s="69"/>
      <c r="L190" s="69"/>
      <c r="M190" s="69"/>
      <c r="N190" s="69"/>
      <c r="O190" s="69"/>
      <c r="P190" s="69"/>
      <c r="Q190" s="69"/>
      <c r="R190" s="69"/>
      <c r="S190" s="69"/>
      <c r="T190" s="69"/>
      <c r="U190" s="69"/>
      <c r="V190" s="69"/>
      <c r="W190" s="69"/>
      <c r="X190" s="69"/>
      <c r="Y190" s="69"/>
      <c r="Z190" s="69"/>
      <c r="AA190" s="69"/>
      <c r="AB190" s="69"/>
      <c r="AC190" s="69"/>
      <c r="AD190" s="69"/>
      <c r="AE190" s="69"/>
      <c r="AF190" s="69"/>
    </row>
    <row r="191" customFormat="false" ht="15" hidden="false" customHeight="false" outlineLevel="0" collapsed="false">
      <c r="B191" s="69"/>
      <c r="C191" s="69"/>
      <c r="D191" s="69"/>
      <c r="E191" s="69"/>
      <c r="F191" s="69"/>
      <c r="G191" s="69"/>
      <c r="H191" s="69"/>
      <c r="I191" s="69"/>
      <c r="J191" s="69"/>
      <c r="K191" s="69"/>
      <c r="L191" s="69"/>
      <c r="M191" s="69"/>
      <c r="N191" s="69"/>
      <c r="O191" s="69"/>
      <c r="P191" s="69"/>
      <c r="Q191" s="69"/>
      <c r="R191" s="69"/>
      <c r="S191" s="69"/>
      <c r="T191" s="69"/>
      <c r="U191" s="69"/>
      <c r="V191" s="69"/>
      <c r="W191" s="69"/>
      <c r="X191" s="69"/>
      <c r="Y191" s="69"/>
      <c r="Z191" s="69"/>
      <c r="AA191" s="69"/>
      <c r="AB191" s="69"/>
      <c r="AC191" s="69"/>
      <c r="AD191" s="69"/>
      <c r="AE191" s="69"/>
      <c r="AF191" s="69"/>
    </row>
    <row r="192" customFormat="false" ht="15" hidden="false" customHeight="false" outlineLevel="0" collapsed="false">
      <c r="B192" s="69"/>
      <c r="C192" s="69"/>
      <c r="D192" s="69"/>
      <c r="E192" s="69"/>
      <c r="F192" s="69"/>
      <c r="G192" s="69"/>
      <c r="H192" s="69"/>
      <c r="I192" s="69"/>
      <c r="J192" s="69"/>
      <c r="K192" s="69"/>
      <c r="L192" s="69"/>
      <c r="M192" s="69"/>
      <c r="N192" s="69"/>
      <c r="O192" s="69"/>
      <c r="P192" s="69"/>
      <c r="Q192" s="69"/>
      <c r="R192" s="69"/>
      <c r="S192" s="69"/>
      <c r="T192" s="69"/>
      <c r="U192" s="69"/>
      <c r="V192" s="69"/>
      <c r="W192" s="69"/>
      <c r="X192" s="69"/>
      <c r="Y192" s="69"/>
      <c r="Z192" s="69"/>
      <c r="AA192" s="69"/>
      <c r="AB192" s="69"/>
      <c r="AC192" s="69"/>
      <c r="AD192" s="69"/>
      <c r="AE192" s="69"/>
      <c r="AF192" s="69"/>
    </row>
    <row r="193" customFormat="false" ht="15" hidden="false" customHeight="false" outlineLevel="0" collapsed="false">
      <c r="B193" s="69"/>
      <c r="C193" s="69"/>
      <c r="D193" s="69"/>
      <c r="E193" s="69"/>
      <c r="F193" s="69"/>
      <c r="G193" s="69"/>
      <c r="H193" s="69"/>
      <c r="I193" s="69"/>
      <c r="J193" s="69"/>
      <c r="K193" s="69"/>
      <c r="L193" s="69"/>
      <c r="M193" s="69"/>
      <c r="N193" s="69"/>
      <c r="O193" s="69"/>
      <c r="P193" s="69"/>
      <c r="Q193" s="69"/>
      <c r="R193" s="69"/>
      <c r="S193" s="69"/>
      <c r="T193" s="69"/>
      <c r="U193" s="69"/>
      <c r="V193" s="69"/>
      <c r="W193" s="69"/>
      <c r="X193" s="69"/>
      <c r="Y193" s="69"/>
      <c r="Z193" s="69"/>
      <c r="AA193" s="69"/>
      <c r="AB193" s="69"/>
      <c r="AC193" s="69"/>
      <c r="AD193" s="69"/>
      <c r="AE193" s="69"/>
      <c r="AF193" s="69"/>
    </row>
    <row r="194" customFormat="false" ht="15" hidden="false" customHeight="false" outlineLevel="0" collapsed="false">
      <c r="B194" s="69"/>
      <c r="C194" s="69"/>
      <c r="D194" s="69"/>
      <c r="E194" s="69"/>
      <c r="F194" s="69"/>
      <c r="G194" s="69"/>
      <c r="H194" s="69"/>
      <c r="I194" s="69"/>
      <c r="J194" s="69"/>
      <c r="K194" s="69"/>
      <c r="L194" s="69"/>
      <c r="M194" s="69"/>
      <c r="N194" s="69"/>
      <c r="O194" s="69"/>
      <c r="P194" s="69"/>
      <c r="Q194" s="69"/>
      <c r="R194" s="69"/>
      <c r="S194" s="69"/>
      <c r="T194" s="69"/>
      <c r="U194" s="69"/>
      <c r="V194" s="69"/>
      <c r="W194" s="69"/>
      <c r="X194" s="69"/>
      <c r="Y194" s="69"/>
      <c r="Z194" s="69"/>
      <c r="AA194" s="69"/>
      <c r="AB194" s="69"/>
      <c r="AC194" s="69"/>
      <c r="AD194" s="69"/>
      <c r="AE194" s="69"/>
      <c r="AF194" s="69"/>
    </row>
    <row r="195" customFormat="false" ht="15" hidden="false" customHeight="false" outlineLevel="0" collapsed="false">
      <c r="B195" s="69"/>
      <c r="C195" s="69"/>
      <c r="D195" s="69"/>
      <c r="E195" s="69"/>
      <c r="F195" s="69"/>
      <c r="G195" s="69"/>
      <c r="H195" s="69"/>
      <c r="I195" s="69"/>
      <c r="J195" s="69"/>
      <c r="K195" s="69"/>
      <c r="L195" s="69"/>
      <c r="M195" s="69"/>
      <c r="N195" s="69"/>
      <c r="O195" s="69"/>
      <c r="P195" s="69"/>
      <c r="Q195" s="69"/>
      <c r="R195" s="69"/>
      <c r="S195" s="69"/>
      <c r="T195" s="69"/>
      <c r="U195" s="69"/>
      <c r="V195" s="69"/>
      <c r="W195" s="69"/>
      <c r="X195" s="69"/>
      <c r="Y195" s="69"/>
      <c r="Z195" s="69"/>
      <c r="AA195" s="69"/>
      <c r="AB195" s="69"/>
      <c r="AC195" s="69"/>
      <c r="AD195" s="69"/>
      <c r="AE195" s="69"/>
      <c r="AF195" s="69"/>
    </row>
    <row r="196" customFormat="false" ht="15" hidden="false" customHeight="false" outlineLevel="0" collapsed="false">
      <c r="B196" s="69"/>
      <c r="C196" s="69"/>
      <c r="D196" s="69"/>
      <c r="E196" s="69"/>
      <c r="F196" s="69"/>
      <c r="G196" s="69"/>
      <c r="H196" s="69"/>
      <c r="I196" s="69"/>
      <c r="J196" s="69"/>
      <c r="K196" s="69"/>
      <c r="L196" s="69"/>
      <c r="M196" s="69"/>
      <c r="N196" s="69"/>
      <c r="O196" s="69"/>
      <c r="P196" s="69"/>
      <c r="Q196" s="69"/>
      <c r="R196" s="69"/>
      <c r="S196" s="69"/>
      <c r="T196" s="69"/>
      <c r="U196" s="69"/>
      <c r="V196" s="69"/>
      <c r="W196" s="69"/>
      <c r="X196" s="69"/>
      <c r="Y196" s="69"/>
      <c r="Z196" s="69"/>
      <c r="AA196" s="69"/>
      <c r="AB196" s="69"/>
      <c r="AC196" s="69"/>
      <c r="AD196" s="69"/>
      <c r="AE196" s="69"/>
      <c r="AF196" s="69"/>
    </row>
    <row r="197" customFormat="false" ht="15" hidden="false" customHeight="false" outlineLevel="0" collapsed="false">
      <c r="B197" s="69"/>
      <c r="C197" s="69"/>
      <c r="D197" s="69"/>
      <c r="E197" s="69"/>
      <c r="F197" s="69"/>
      <c r="G197" s="69"/>
      <c r="H197" s="69"/>
      <c r="I197" s="69"/>
      <c r="J197" s="69"/>
      <c r="K197" s="69"/>
      <c r="L197" s="69"/>
      <c r="M197" s="69"/>
      <c r="N197" s="69"/>
      <c r="O197" s="69"/>
      <c r="P197" s="69"/>
      <c r="Q197" s="69"/>
      <c r="R197" s="69"/>
      <c r="S197" s="69"/>
      <c r="T197" s="69"/>
      <c r="U197" s="69"/>
      <c r="V197" s="69"/>
      <c r="W197" s="69"/>
      <c r="X197" s="69"/>
      <c r="Y197" s="69"/>
      <c r="Z197" s="69"/>
      <c r="AA197" s="69"/>
      <c r="AB197" s="69"/>
      <c r="AC197" s="69"/>
      <c r="AD197" s="69"/>
      <c r="AE197" s="69"/>
      <c r="AF197" s="69"/>
    </row>
    <row r="198" customFormat="false" ht="15" hidden="false" customHeight="false" outlineLevel="0" collapsed="false">
      <c r="B198" s="69"/>
      <c r="C198" s="69"/>
      <c r="D198" s="69"/>
      <c r="E198" s="69"/>
      <c r="F198" s="69"/>
      <c r="G198" s="69"/>
      <c r="H198" s="69"/>
      <c r="I198" s="69"/>
      <c r="J198" s="69"/>
      <c r="K198" s="69"/>
      <c r="L198" s="69"/>
      <c r="M198" s="69"/>
      <c r="N198" s="69"/>
      <c r="O198" s="69"/>
      <c r="P198" s="69"/>
      <c r="Q198" s="69"/>
      <c r="R198" s="69"/>
      <c r="S198" s="69"/>
      <c r="T198" s="69"/>
      <c r="U198" s="69"/>
      <c r="V198" s="69"/>
      <c r="W198" s="69"/>
      <c r="X198" s="69"/>
      <c r="Y198" s="69"/>
      <c r="Z198" s="69"/>
      <c r="AA198" s="69"/>
      <c r="AB198" s="69"/>
      <c r="AC198" s="69"/>
      <c r="AD198" s="69"/>
      <c r="AE198" s="69"/>
      <c r="AF198" s="69"/>
    </row>
    <row r="199" customFormat="false" ht="15" hidden="false" customHeight="false" outlineLevel="0" collapsed="false">
      <c r="B199" s="69"/>
      <c r="C199" s="69"/>
      <c r="D199" s="69"/>
      <c r="E199" s="69"/>
      <c r="F199" s="69"/>
      <c r="G199" s="69"/>
      <c r="H199" s="69"/>
      <c r="I199" s="69"/>
      <c r="J199" s="69"/>
      <c r="K199" s="69"/>
      <c r="L199" s="69"/>
      <c r="M199" s="69"/>
      <c r="N199" s="69"/>
      <c r="O199" s="69"/>
      <c r="P199" s="69"/>
      <c r="Q199" s="69"/>
      <c r="R199" s="69"/>
      <c r="S199" s="69"/>
      <c r="T199" s="69"/>
      <c r="U199" s="69"/>
      <c r="V199" s="69"/>
      <c r="W199" s="69"/>
      <c r="X199" s="69"/>
      <c r="Y199" s="69"/>
      <c r="Z199" s="69"/>
      <c r="AA199" s="69"/>
      <c r="AB199" s="69"/>
      <c r="AC199" s="69"/>
      <c r="AD199" s="69"/>
      <c r="AE199" s="69"/>
      <c r="AF199" s="69"/>
    </row>
    <row r="200" customFormat="false" ht="15" hidden="false" customHeight="false" outlineLevel="0" collapsed="false">
      <c r="B200" s="69"/>
      <c r="C200" s="69"/>
      <c r="D200" s="69"/>
      <c r="E200" s="69"/>
      <c r="F200" s="69"/>
      <c r="G200" s="69"/>
      <c r="H200" s="69"/>
      <c r="I200" s="69"/>
      <c r="J200" s="69"/>
      <c r="K200" s="69"/>
      <c r="L200" s="69"/>
      <c r="M200" s="69"/>
      <c r="N200" s="69"/>
      <c r="O200" s="69"/>
      <c r="P200" s="69"/>
      <c r="Q200" s="69"/>
      <c r="R200" s="69"/>
      <c r="S200" s="69"/>
      <c r="T200" s="69"/>
      <c r="U200" s="69"/>
      <c r="V200" s="69"/>
      <c r="W200" s="69"/>
      <c r="X200" s="69"/>
      <c r="Y200" s="69"/>
      <c r="Z200" s="69"/>
      <c r="AA200" s="69"/>
      <c r="AB200" s="69"/>
      <c r="AC200" s="69"/>
      <c r="AD200" s="69"/>
      <c r="AE200" s="69"/>
      <c r="AF200" s="69"/>
    </row>
    <row r="201" customFormat="false" ht="15" hidden="false" customHeight="false" outlineLevel="0" collapsed="false">
      <c r="B201" s="69"/>
      <c r="C201" s="69"/>
      <c r="D201" s="69"/>
      <c r="E201" s="69"/>
      <c r="F201" s="69"/>
      <c r="G201" s="69"/>
      <c r="H201" s="69"/>
      <c r="I201" s="69"/>
      <c r="J201" s="69"/>
      <c r="K201" s="69"/>
      <c r="L201" s="69"/>
      <c r="M201" s="69"/>
      <c r="N201" s="69"/>
      <c r="O201" s="69"/>
      <c r="P201" s="69"/>
      <c r="Q201" s="69"/>
      <c r="R201" s="69"/>
      <c r="S201" s="69"/>
      <c r="T201" s="69"/>
      <c r="U201" s="69"/>
      <c r="V201" s="69"/>
      <c r="W201" s="69"/>
      <c r="X201" s="69"/>
      <c r="Y201" s="69"/>
      <c r="Z201" s="69"/>
      <c r="AA201" s="69"/>
      <c r="AB201" s="69"/>
      <c r="AC201" s="69"/>
      <c r="AD201" s="69"/>
      <c r="AE201" s="69"/>
      <c r="AF201" s="69"/>
    </row>
    <row r="202" customFormat="false" ht="15" hidden="false" customHeight="false" outlineLevel="0" collapsed="false">
      <c r="B202" s="69"/>
      <c r="C202" s="69"/>
      <c r="D202" s="69"/>
      <c r="E202" s="69"/>
      <c r="F202" s="69"/>
      <c r="G202" s="69"/>
      <c r="H202" s="69"/>
      <c r="I202" s="69"/>
      <c r="J202" s="69"/>
      <c r="K202" s="69"/>
      <c r="L202" s="69"/>
      <c r="M202" s="69"/>
      <c r="N202" s="69"/>
      <c r="O202" s="69"/>
      <c r="P202" s="69"/>
      <c r="Q202" s="69"/>
      <c r="R202" s="69"/>
      <c r="S202" s="69"/>
      <c r="T202" s="69"/>
      <c r="U202" s="69"/>
      <c r="V202" s="69"/>
      <c r="W202" s="69"/>
      <c r="X202" s="69"/>
      <c r="Y202" s="69"/>
      <c r="Z202" s="69"/>
      <c r="AA202" s="69"/>
      <c r="AB202" s="69"/>
      <c r="AC202" s="69"/>
      <c r="AD202" s="69"/>
      <c r="AE202" s="69"/>
      <c r="AF202" s="69"/>
    </row>
    <row r="203" customFormat="false" ht="15" hidden="false" customHeight="false" outlineLevel="0" collapsed="false">
      <c r="B203" s="69"/>
      <c r="C203" s="69"/>
      <c r="D203" s="69"/>
      <c r="E203" s="69"/>
      <c r="F203" s="69"/>
      <c r="G203" s="69"/>
      <c r="H203" s="69"/>
      <c r="I203" s="69"/>
      <c r="J203" s="69"/>
      <c r="K203" s="69"/>
      <c r="L203" s="69"/>
      <c r="M203" s="69"/>
      <c r="N203" s="69"/>
      <c r="O203" s="69"/>
      <c r="P203" s="69"/>
      <c r="Q203" s="69"/>
      <c r="R203" s="69"/>
      <c r="S203" s="69"/>
      <c r="T203" s="69"/>
      <c r="U203" s="69"/>
      <c r="V203" s="69"/>
      <c r="W203" s="69"/>
      <c r="X203" s="69"/>
      <c r="Y203" s="69"/>
      <c r="Z203" s="69"/>
      <c r="AA203" s="69"/>
      <c r="AB203" s="69"/>
      <c r="AC203" s="69"/>
      <c r="AD203" s="69"/>
      <c r="AE203" s="69"/>
      <c r="AF203" s="69"/>
    </row>
    <row r="204" customFormat="false" ht="15" hidden="false" customHeight="false" outlineLevel="0" collapsed="false">
      <c r="B204" s="69"/>
      <c r="C204" s="69"/>
      <c r="D204" s="69"/>
      <c r="E204" s="69"/>
      <c r="F204" s="69"/>
      <c r="G204" s="69"/>
      <c r="H204" s="69"/>
      <c r="I204" s="69"/>
      <c r="J204" s="69"/>
      <c r="K204" s="69"/>
      <c r="L204" s="69"/>
      <c r="M204" s="69"/>
      <c r="N204" s="69"/>
      <c r="O204" s="69"/>
      <c r="P204" s="69"/>
      <c r="Q204" s="69"/>
      <c r="R204" s="69"/>
      <c r="S204" s="69"/>
      <c r="T204" s="69"/>
      <c r="U204" s="69"/>
      <c r="V204" s="69"/>
      <c r="W204" s="69"/>
      <c r="X204" s="69"/>
      <c r="Y204" s="69"/>
      <c r="Z204" s="69"/>
      <c r="AA204" s="69"/>
      <c r="AB204" s="69"/>
      <c r="AC204" s="69"/>
      <c r="AD204" s="69"/>
      <c r="AE204" s="69"/>
      <c r="AF204" s="69"/>
    </row>
    <row r="205" customFormat="false" ht="15" hidden="false" customHeight="false" outlineLevel="0" collapsed="false">
      <c r="B205" s="69"/>
      <c r="C205" s="69"/>
      <c r="D205" s="69"/>
      <c r="E205" s="69"/>
      <c r="F205" s="69"/>
      <c r="G205" s="69"/>
      <c r="H205" s="69"/>
      <c r="I205" s="69"/>
      <c r="J205" s="69"/>
      <c r="K205" s="69"/>
      <c r="L205" s="69"/>
      <c r="M205" s="69"/>
      <c r="N205" s="69"/>
      <c r="O205" s="69"/>
      <c r="P205" s="69"/>
      <c r="Q205" s="69"/>
      <c r="R205" s="69"/>
      <c r="S205" s="69"/>
      <c r="T205" s="69"/>
      <c r="U205" s="69"/>
      <c r="V205" s="69"/>
      <c r="W205" s="69"/>
      <c r="X205" s="69"/>
      <c r="Y205" s="69"/>
      <c r="Z205" s="69"/>
      <c r="AA205" s="69"/>
      <c r="AB205" s="69"/>
      <c r="AC205" s="69"/>
      <c r="AD205" s="69"/>
      <c r="AE205" s="69"/>
      <c r="AF205" s="69"/>
    </row>
    <row r="206" customFormat="false" ht="15" hidden="false" customHeight="false" outlineLevel="0" collapsed="false">
      <c r="B206" s="69"/>
      <c r="C206" s="69"/>
      <c r="D206" s="69"/>
      <c r="E206" s="69"/>
      <c r="F206" s="69"/>
      <c r="G206" s="69"/>
      <c r="H206" s="69"/>
      <c r="I206" s="69"/>
      <c r="J206" s="69"/>
      <c r="K206" s="69"/>
      <c r="L206" s="69"/>
      <c r="M206" s="69"/>
      <c r="N206" s="69"/>
      <c r="O206" s="69"/>
      <c r="P206" s="69"/>
      <c r="Q206" s="69"/>
      <c r="R206" s="69"/>
      <c r="S206" s="69"/>
      <c r="T206" s="69"/>
      <c r="U206" s="69"/>
      <c r="V206" s="69"/>
      <c r="W206" s="69"/>
      <c r="X206" s="69"/>
      <c r="Y206" s="69"/>
      <c r="Z206" s="69"/>
      <c r="AA206" s="69"/>
      <c r="AB206" s="69"/>
      <c r="AC206" s="69"/>
      <c r="AD206" s="69"/>
      <c r="AE206" s="69"/>
      <c r="AF206" s="69"/>
    </row>
    <row r="207" customFormat="false" ht="15" hidden="false" customHeight="false" outlineLevel="0" collapsed="false">
      <c r="B207" s="69"/>
      <c r="C207" s="69"/>
      <c r="D207" s="69"/>
      <c r="E207" s="69"/>
      <c r="F207" s="69"/>
      <c r="G207" s="69"/>
      <c r="H207" s="69"/>
      <c r="I207" s="69"/>
      <c r="J207" s="69"/>
      <c r="K207" s="69"/>
      <c r="L207" s="69"/>
      <c r="M207" s="69"/>
      <c r="N207" s="69"/>
      <c r="O207" s="69"/>
      <c r="P207" s="69"/>
      <c r="Q207" s="69"/>
      <c r="R207" s="69"/>
      <c r="S207" s="69"/>
      <c r="T207" s="69"/>
      <c r="U207" s="69"/>
      <c r="V207" s="69"/>
      <c r="W207" s="69"/>
      <c r="X207" s="69"/>
      <c r="Y207" s="69"/>
      <c r="Z207" s="69"/>
      <c r="AA207" s="69"/>
      <c r="AB207" s="69"/>
      <c r="AC207" s="69"/>
      <c r="AD207" s="69"/>
      <c r="AE207" s="69"/>
      <c r="AF207" s="69"/>
    </row>
    <row r="208" customFormat="false" ht="15" hidden="false" customHeight="false" outlineLevel="0" collapsed="false">
      <c r="B208" s="69"/>
      <c r="C208" s="69"/>
      <c r="D208" s="69"/>
      <c r="E208" s="69"/>
      <c r="F208" s="69"/>
      <c r="G208" s="69"/>
      <c r="H208" s="69"/>
      <c r="I208" s="69"/>
      <c r="J208" s="69"/>
      <c r="K208" s="69"/>
      <c r="L208" s="69"/>
      <c r="M208" s="69"/>
      <c r="N208" s="69"/>
      <c r="O208" s="69"/>
      <c r="P208" s="69"/>
      <c r="Q208" s="69"/>
      <c r="R208" s="69"/>
      <c r="S208" s="69"/>
      <c r="T208" s="69"/>
      <c r="U208" s="69"/>
      <c r="V208" s="69"/>
      <c r="W208" s="69"/>
      <c r="X208" s="69"/>
      <c r="Y208" s="69"/>
      <c r="Z208" s="69"/>
      <c r="AA208" s="69"/>
      <c r="AB208" s="69"/>
      <c r="AC208" s="69"/>
      <c r="AD208" s="69"/>
      <c r="AE208" s="69"/>
      <c r="AF208" s="69"/>
    </row>
    <row r="209" customFormat="false" ht="15" hidden="false" customHeight="false" outlineLevel="0" collapsed="false">
      <c r="B209" s="69"/>
      <c r="C209" s="69"/>
      <c r="D209" s="69"/>
      <c r="E209" s="69"/>
      <c r="F209" s="69"/>
      <c r="G209" s="69"/>
      <c r="H209" s="69"/>
      <c r="I209" s="69"/>
      <c r="J209" s="69"/>
      <c r="K209" s="69"/>
      <c r="L209" s="69"/>
      <c r="M209" s="69"/>
      <c r="N209" s="69"/>
      <c r="O209" s="69"/>
      <c r="P209" s="69"/>
      <c r="Q209" s="69"/>
      <c r="R209" s="69"/>
      <c r="S209" s="69"/>
      <c r="T209" s="69"/>
      <c r="U209" s="69"/>
      <c r="V209" s="69"/>
      <c r="W209" s="69"/>
      <c r="X209" s="69"/>
      <c r="Y209" s="69"/>
      <c r="Z209" s="69"/>
      <c r="AA209" s="69"/>
      <c r="AB209" s="69"/>
      <c r="AC209" s="69"/>
      <c r="AD209" s="69"/>
      <c r="AE209" s="69"/>
      <c r="AF209" s="69"/>
    </row>
    <row r="210" customFormat="false" ht="15" hidden="false" customHeight="false" outlineLevel="0" collapsed="false">
      <c r="B210" s="69"/>
      <c r="C210" s="69"/>
      <c r="D210" s="69"/>
      <c r="E210" s="69"/>
      <c r="F210" s="69"/>
      <c r="G210" s="69"/>
      <c r="H210" s="69"/>
      <c r="I210" s="69"/>
      <c r="J210" s="69"/>
      <c r="K210" s="69"/>
      <c r="L210" s="69"/>
      <c r="M210" s="69"/>
      <c r="N210" s="69"/>
      <c r="O210" s="69"/>
      <c r="P210" s="69"/>
      <c r="Q210" s="69"/>
      <c r="R210" s="69"/>
      <c r="S210" s="69"/>
      <c r="T210" s="69"/>
      <c r="U210" s="69"/>
      <c r="V210" s="69"/>
      <c r="W210" s="69"/>
      <c r="X210" s="69"/>
      <c r="Y210" s="69"/>
      <c r="Z210" s="69"/>
      <c r="AA210" s="69"/>
      <c r="AB210" s="69"/>
      <c r="AC210" s="69"/>
      <c r="AD210" s="69"/>
      <c r="AE210" s="69"/>
      <c r="AF210" s="69"/>
    </row>
    <row r="211" customFormat="false" ht="15" hidden="false" customHeight="false" outlineLevel="0" collapsed="false">
      <c r="B211" s="69"/>
      <c r="C211" s="69"/>
      <c r="D211" s="69"/>
      <c r="E211" s="69"/>
      <c r="F211" s="69"/>
      <c r="G211" s="69"/>
      <c r="H211" s="69"/>
      <c r="I211" s="69"/>
      <c r="J211" s="69"/>
      <c r="K211" s="69"/>
      <c r="L211" s="69"/>
      <c r="M211" s="69"/>
      <c r="N211" s="69"/>
      <c r="O211" s="69"/>
      <c r="P211" s="69"/>
      <c r="Q211" s="69"/>
      <c r="R211" s="69"/>
      <c r="S211" s="69"/>
      <c r="T211" s="69"/>
      <c r="U211" s="69"/>
      <c r="V211" s="69"/>
      <c r="W211" s="69"/>
      <c r="X211" s="69"/>
      <c r="Y211" s="69"/>
      <c r="Z211" s="69"/>
      <c r="AA211" s="69"/>
      <c r="AB211" s="69"/>
      <c r="AC211" s="69"/>
      <c r="AD211" s="69"/>
      <c r="AE211" s="69"/>
      <c r="AF211" s="69"/>
    </row>
    <row r="212" customFormat="false" ht="15" hidden="false" customHeight="false" outlineLevel="0" collapsed="false">
      <c r="B212" s="69"/>
      <c r="C212" s="69"/>
      <c r="D212" s="69"/>
      <c r="E212" s="69"/>
      <c r="F212" s="69"/>
      <c r="G212" s="69"/>
      <c r="H212" s="69"/>
      <c r="I212" s="69"/>
      <c r="J212" s="69"/>
      <c r="K212" s="69"/>
      <c r="L212" s="69"/>
      <c r="M212" s="69"/>
      <c r="N212" s="69"/>
      <c r="O212" s="69"/>
      <c r="P212" s="69"/>
      <c r="Q212" s="69"/>
      <c r="R212" s="69"/>
      <c r="S212" s="69"/>
      <c r="T212" s="69"/>
      <c r="U212" s="69"/>
      <c r="V212" s="69"/>
      <c r="W212" s="69"/>
      <c r="X212" s="69"/>
      <c r="Y212" s="69"/>
      <c r="Z212" s="69"/>
      <c r="AA212" s="69"/>
      <c r="AB212" s="69"/>
      <c r="AC212" s="69"/>
      <c r="AD212" s="69"/>
      <c r="AE212" s="69"/>
      <c r="AF212" s="69"/>
    </row>
    <row r="213" customFormat="false" ht="15" hidden="false" customHeight="false" outlineLevel="0" collapsed="false">
      <c r="B213" s="69"/>
      <c r="C213" s="69"/>
      <c r="D213" s="69"/>
      <c r="E213" s="69"/>
      <c r="F213" s="69"/>
      <c r="G213" s="69"/>
      <c r="H213" s="69"/>
      <c r="I213" s="69"/>
      <c r="J213" s="69"/>
      <c r="K213" s="69"/>
      <c r="L213" s="69"/>
      <c r="M213" s="69"/>
      <c r="N213" s="69"/>
      <c r="O213" s="69"/>
      <c r="P213" s="69"/>
      <c r="Q213" s="69"/>
      <c r="R213" s="69"/>
      <c r="S213" s="69"/>
      <c r="T213" s="69"/>
      <c r="U213" s="69"/>
      <c r="V213" s="69"/>
      <c r="W213" s="69"/>
      <c r="X213" s="69"/>
      <c r="Y213" s="69"/>
      <c r="Z213" s="69"/>
      <c r="AA213" s="69"/>
      <c r="AB213" s="69"/>
      <c r="AC213" s="69"/>
      <c r="AD213" s="69"/>
      <c r="AE213" s="69"/>
      <c r="AF213" s="69"/>
    </row>
    <row r="214" customFormat="false" ht="15" hidden="false" customHeight="false" outlineLevel="0" collapsed="false">
      <c r="B214" s="69"/>
      <c r="C214" s="69"/>
      <c r="D214" s="69"/>
      <c r="E214" s="69"/>
      <c r="F214" s="69"/>
      <c r="G214" s="69"/>
      <c r="H214" s="69"/>
      <c r="I214" s="69"/>
      <c r="J214" s="69"/>
      <c r="K214" s="69"/>
      <c r="L214" s="69"/>
      <c r="M214" s="69"/>
      <c r="N214" s="69"/>
      <c r="O214" s="69"/>
      <c r="P214" s="69"/>
      <c r="Q214" s="69"/>
      <c r="R214" s="69"/>
      <c r="S214" s="69"/>
      <c r="T214" s="69"/>
      <c r="U214" s="69"/>
      <c r="V214" s="69"/>
      <c r="W214" s="69"/>
      <c r="X214" s="69"/>
      <c r="Y214" s="69"/>
      <c r="Z214" s="69"/>
      <c r="AA214" s="69"/>
      <c r="AB214" s="69"/>
      <c r="AC214" s="69"/>
      <c r="AD214" s="69"/>
      <c r="AE214" s="69"/>
      <c r="AF214" s="69"/>
    </row>
    <row r="215" customFormat="false" ht="15" hidden="false" customHeight="false" outlineLevel="0" collapsed="false">
      <c r="B215" s="69"/>
      <c r="C215" s="69"/>
      <c r="D215" s="69"/>
      <c r="E215" s="69"/>
      <c r="F215" s="69"/>
      <c r="G215" s="69"/>
      <c r="H215" s="69"/>
      <c r="I215" s="69"/>
      <c r="J215" s="69"/>
      <c r="K215" s="69"/>
      <c r="L215" s="69"/>
      <c r="M215" s="69"/>
      <c r="N215" s="69"/>
      <c r="O215" s="69"/>
      <c r="P215" s="69"/>
      <c r="Q215" s="69"/>
      <c r="R215" s="69"/>
      <c r="S215" s="69"/>
      <c r="T215" s="69"/>
      <c r="U215" s="69"/>
      <c r="V215" s="69"/>
      <c r="W215" s="69"/>
      <c r="X215" s="69"/>
      <c r="Y215" s="69"/>
      <c r="Z215" s="69"/>
      <c r="AA215" s="69"/>
      <c r="AB215" s="69"/>
      <c r="AC215" s="69"/>
      <c r="AD215" s="69"/>
      <c r="AE215" s="69"/>
      <c r="AF215" s="69"/>
    </row>
    <row r="216" customFormat="false" ht="15" hidden="false" customHeight="false" outlineLevel="0" collapsed="false">
      <c r="B216" s="69"/>
      <c r="C216" s="69"/>
      <c r="D216" s="69"/>
      <c r="E216" s="69"/>
      <c r="F216" s="69"/>
      <c r="G216" s="69"/>
      <c r="H216" s="69"/>
      <c r="I216" s="69"/>
      <c r="J216" s="69"/>
      <c r="K216" s="69"/>
      <c r="L216" s="69"/>
      <c r="M216" s="69"/>
      <c r="N216" s="69"/>
      <c r="O216" s="69"/>
      <c r="P216" s="69"/>
      <c r="Q216" s="69"/>
      <c r="R216" s="69"/>
      <c r="S216" s="69"/>
      <c r="T216" s="69"/>
      <c r="U216" s="69"/>
      <c r="V216" s="69"/>
      <c r="W216" s="69"/>
      <c r="X216" s="69"/>
      <c r="Y216" s="69"/>
      <c r="Z216" s="69"/>
      <c r="AA216" s="69"/>
      <c r="AB216" s="69"/>
      <c r="AC216" s="69"/>
      <c r="AD216" s="69"/>
      <c r="AE216" s="69"/>
      <c r="AF216" s="69"/>
    </row>
    <row r="217" customFormat="false" ht="15" hidden="false" customHeight="false" outlineLevel="0" collapsed="false">
      <c r="B217" s="69"/>
      <c r="C217" s="69"/>
      <c r="D217" s="69"/>
      <c r="E217" s="69"/>
      <c r="F217" s="69"/>
      <c r="G217" s="69"/>
      <c r="H217" s="69"/>
      <c r="I217" s="69"/>
      <c r="J217" s="69"/>
      <c r="K217" s="69"/>
      <c r="L217" s="69"/>
      <c r="M217" s="69"/>
      <c r="N217" s="69"/>
      <c r="O217" s="69"/>
      <c r="P217" s="69"/>
      <c r="Q217" s="69"/>
      <c r="R217" s="69"/>
      <c r="S217" s="69"/>
      <c r="T217" s="69"/>
      <c r="U217" s="69"/>
      <c r="V217" s="69"/>
      <c r="W217" s="69"/>
      <c r="X217" s="69"/>
      <c r="Y217" s="69"/>
      <c r="Z217" s="69"/>
      <c r="AA217" s="69"/>
      <c r="AB217" s="69"/>
      <c r="AC217" s="69"/>
      <c r="AD217" s="69"/>
      <c r="AE217" s="69"/>
      <c r="AF217" s="69"/>
    </row>
    <row r="218" customFormat="false" ht="15" hidden="false" customHeight="false" outlineLevel="0" collapsed="false">
      <c r="B218" s="69"/>
      <c r="C218" s="69"/>
      <c r="D218" s="69"/>
      <c r="E218" s="69"/>
      <c r="F218" s="69"/>
      <c r="G218" s="69"/>
      <c r="H218" s="69"/>
      <c r="I218" s="69"/>
      <c r="J218" s="69"/>
      <c r="K218" s="69"/>
      <c r="L218" s="69"/>
      <c r="M218" s="69"/>
      <c r="N218" s="69"/>
      <c r="O218" s="69"/>
      <c r="P218" s="69"/>
      <c r="Q218" s="69"/>
      <c r="R218" s="69"/>
      <c r="S218" s="69"/>
      <c r="T218" s="69"/>
      <c r="U218" s="69"/>
      <c r="V218" s="69"/>
      <c r="W218" s="69"/>
      <c r="X218" s="69"/>
      <c r="Y218" s="69"/>
      <c r="Z218" s="69"/>
      <c r="AA218" s="69"/>
      <c r="AB218" s="69"/>
      <c r="AC218" s="69"/>
      <c r="AD218" s="69"/>
      <c r="AE218" s="69"/>
      <c r="AF218" s="69"/>
    </row>
    <row r="219" customFormat="false" ht="15" hidden="false" customHeight="false" outlineLevel="0" collapsed="false">
      <c r="B219" s="69"/>
      <c r="C219" s="69"/>
      <c r="D219" s="69"/>
      <c r="E219" s="69"/>
      <c r="F219" s="69"/>
      <c r="G219" s="69"/>
      <c r="H219" s="69"/>
      <c r="I219" s="69"/>
      <c r="J219" s="69"/>
      <c r="K219" s="69"/>
      <c r="L219" s="69"/>
      <c r="M219" s="69"/>
      <c r="N219" s="69"/>
      <c r="O219" s="69"/>
      <c r="P219" s="69"/>
      <c r="Q219" s="69"/>
      <c r="R219" s="69"/>
      <c r="S219" s="69"/>
      <c r="T219" s="69"/>
      <c r="U219" s="69"/>
      <c r="V219" s="69"/>
      <c r="W219" s="69"/>
      <c r="X219" s="69"/>
      <c r="Y219" s="69"/>
      <c r="Z219" s="69"/>
      <c r="AA219" s="69"/>
      <c r="AB219" s="69"/>
      <c r="AC219" s="69"/>
      <c r="AD219" s="69"/>
      <c r="AE219" s="69"/>
      <c r="AF219" s="69"/>
    </row>
    <row r="220" customFormat="false" ht="15" hidden="false" customHeight="false" outlineLevel="0" collapsed="false">
      <c r="B220" s="69"/>
      <c r="C220" s="69"/>
      <c r="D220" s="69"/>
      <c r="E220" s="69"/>
      <c r="F220" s="69"/>
      <c r="G220" s="69"/>
      <c r="H220" s="69"/>
      <c r="I220" s="69"/>
      <c r="J220" s="69"/>
      <c r="K220" s="69"/>
      <c r="L220" s="69"/>
      <c r="M220" s="69"/>
      <c r="N220" s="69"/>
      <c r="O220" s="69"/>
      <c r="P220" s="69"/>
      <c r="Q220" s="69"/>
      <c r="R220" s="69"/>
      <c r="S220" s="69"/>
      <c r="T220" s="69"/>
      <c r="U220" s="69"/>
      <c r="V220" s="69"/>
      <c r="W220" s="69"/>
      <c r="X220" s="69"/>
      <c r="Y220" s="69"/>
      <c r="Z220" s="69"/>
      <c r="AA220" s="69"/>
      <c r="AB220" s="69"/>
      <c r="AC220" s="69"/>
      <c r="AD220" s="69"/>
      <c r="AE220" s="69"/>
      <c r="AF220" s="69"/>
    </row>
    <row r="221" customFormat="false" ht="15" hidden="false" customHeight="false" outlineLevel="0" collapsed="false">
      <c r="B221" s="69"/>
      <c r="C221" s="69"/>
      <c r="D221" s="69"/>
      <c r="E221" s="69"/>
      <c r="F221" s="69"/>
      <c r="G221" s="69"/>
      <c r="H221" s="69"/>
      <c r="I221" s="69"/>
      <c r="J221" s="69"/>
      <c r="K221" s="69"/>
      <c r="L221" s="69"/>
      <c r="M221" s="69"/>
      <c r="N221" s="69"/>
      <c r="O221" s="69"/>
      <c r="P221" s="69"/>
      <c r="Q221" s="69"/>
      <c r="R221" s="69"/>
      <c r="S221" s="69"/>
      <c r="T221" s="69"/>
      <c r="U221" s="69"/>
      <c r="V221" s="69"/>
      <c r="W221" s="69"/>
      <c r="X221" s="69"/>
      <c r="Y221" s="69"/>
      <c r="Z221" s="69"/>
      <c r="AA221" s="69"/>
      <c r="AB221" s="69"/>
      <c r="AC221" s="69"/>
      <c r="AD221" s="69"/>
      <c r="AE221" s="69"/>
      <c r="AF221" s="69"/>
    </row>
    <row r="222" customFormat="false" ht="15" hidden="false" customHeight="false" outlineLevel="0" collapsed="false">
      <c r="B222" s="69"/>
      <c r="C222" s="69"/>
      <c r="D222" s="69"/>
      <c r="E222" s="69"/>
      <c r="F222" s="69"/>
      <c r="G222" s="69"/>
      <c r="H222" s="69"/>
      <c r="I222" s="69"/>
      <c r="J222" s="69"/>
      <c r="K222" s="69"/>
      <c r="L222" s="69"/>
      <c r="M222" s="69"/>
      <c r="N222" s="69"/>
      <c r="O222" s="69"/>
      <c r="P222" s="69"/>
      <c r="Q222" s="69"/>
      <c r="R222" s="69"/>
      <c r="S222" s="69"/>
      <c r="T222" s="69"/>
      <c r="U222" s="69"/>
      <c r="V222" s="69"/>
      <c r="W222" s="69"/>
      <c r="X222" s="69"/>
      <c r="Y222" s="69"/>
      <c r="Z222" s="69"/>
      <c r="AA222" s="69"/>
      <c r="AB222" s="69"/>
      <c r="AC222" s="69"/>
      <c r="AD222" s="69"/>
      <c r="AE222" s="69"/>
      <c r="AF222" s="69"/>
    </row>
    <row r="223" customFormat="false" ht="15" hidden="false" customHeight="false" outlineLevel="0" collapsed="false">
      <c r="B223" s="69"/>
      <c r="C223" s="69"/>
      <c r="D223" s="69"/>
      <c r="E223" s="69"/>
      <c r="F223" s="69"/>
      <c r="G223" s="69"/>
      <c r="H223" s="69"/>
      <c r="I223" s="69"/>
      <c r="J223" s="69"/>
      <c r="K223" s="69"/>
      <c r="L223" s="69"/>
      <c r="M223" s="69"/>
      <c r="N223" s="69"/>
      <c r="O223" s="69"/>
      <c r="P223" s="69"/>
      <c r="Q223" s="69"/>
      <c r="R223" s="69"/>
      <c r="S223" s="69"/>
      <c r="T223" s="69"/>
      <c r="U223" s="69"/>
      <c r="V223" s="69"/>
      <c r="W223" s="69"/>
      <c r="X223" s="69"/>
      <c r="Y223" s="69"/>
      <c r="Z223" s="69"/>
      <c r="AA223" s="69"/>
      <c r="AB223" s="69"/>
      <c r="AC223" s="69"/>
      <c r="AD223" s="69"/>
      <c r="AE223" s="69"/>
      <c r="AF223" s="69"/>
    </row>
    <row r="224" customFormat="false" ht="15" hidden="false" customHeight="false" outlineLevel="0" collapsed="false">
      <c r="B224" s="69"/>
      <c r="C224" s="69"/>
      <c r="D224" s="69"/>
      <c r="E224" s="69"/>
      <c r="F224" s="69"/>
      <c r="G224" s="69"/>
      <c r="H224" s="69"/>
      <c r="I224" s="69"/>
      <c r="J224" s="69"/>
      <c r="K224" s="69"/>
      <c r="L224" s="69"/>
      <c r="M224" s="69"/>
      <c r="N224" s="69"/>
      <c r="O224" s="69"/>
      <c r="P224" s="69"/>
      <c r="Q224" s="69"/>
      <c r="R224" s="69"/>
      <c r="S224" s="69"/>
      <c r="T224" s="69"/>
      <c r="U224" s="69"/>
      <c r="V224" s="69"/>
      <c r="W224" s="69"/>
      <c r="X224" s="69"/>
      <c r="Y224" s="69"/>
      <c r="Z224" s="69"/>
      <c r="AA224" s="69"/>
      <c r="AB224" s="69"/>
      <c r="AC224" s="69"/>
      <c r="AD224" s="69"/>
      <c r="AE224" s="69"/>
      <c r="AF224" s="69"/>
    </row>
    <row r="225" customFormat="false" ht="15" hidden="false" customHeight="false" outlineLevel="0" collapsed="false">
      <c r="B225" s="69"/>
      <c r="C225" s="69"/>
      <c r="D225" s="69"/>
      <c r="E225" s="69"/>
      <c r="F225" s="69"/>
      <c r="G225" s="69"/>
      <c r="H225" s="69"/>
      <c r="I225" s="69"/>
      <c r="J225" s="69"/>
      <c r="K225" s="69"/>
      <c r="L225" s="69"/>
      <c r="M225" s="69"/>
      <c r="N225" s="69"/>
      <c r="O225" s="69"/>
      <c r="P225" s="69"/>
      <c r="Q225" s="69"/>
      <c r="R225" s="69"/>
      <c r="S225" s="69"/>
      <c r="T225" s="69"/>
      <c r="U225" s="69"/>
      <c r="V225" s="69"/>
      <c r="W225" s="69"/>
      <c r="X225" s="69"/>
      <c r="Y225" s="69"/>
      <c r="Z225" s="69"/>
      <c r="AA225" s="69"/>
      <c r="AB225" s="69"/>
      <c r="AC225" s="69"/>
      <c r="AD225" s="69"/>
      <c r="AE225" s="69"/>
      <c r="AF225" s="69"/>
    </row>
    <row r="226" customFormat="false" ht="15" hidden="false" customHeight="false" outlineLevel="0" collapsed="false">
      <c r="B226" s="69"/>
      <c r="C226" s="69"/>
      <c r="D226" s="69"/>
      <c r="E226" s="69"/>
      <c r="F226" s="69"/>
      <c r="G226" s="69"/>
      <c r="H226" s="69"/>
      <c r="I226" s="69"/>
      <c r="J226" s="69"/>
      <c r="K226" s="69"/>
      <c r="L226" s="69"/>
      <c r="M226" s="69"/>
      <c r="N226" s="69"/>
      <c r="O226" s="69"/>
      <c r="P226" s="69"/>
      <c r="Q226" s="69"/>
      <c r="R226" s="69"/>
      <c r="S226" s="69"/>
      <c r="T226" s="69"/>
      <c r="U226" s="69"/>
      <c r="V226" s="69"/>
      <c r="W226" s="69"/>
      <c r="X226" s="69"/>
      <c r="Y226" s="69"/>
      <c r="Z226" s="69"/>
      <c r="AA226" s="69"/>
      <c r="AB226" s="69"/>
      <c r="AC226" s="69"/>
      <c r="AD226" s="69"/>
      <c r="AE226" s="69"/>
      <c r="AF226" s="69"/>
    </row>
    <row r="227" customFormat="false" ht="15" hidden="false" customHeight="false" outlineLevel="0" collapsed="false">
      <c r="B227" s="69"/>
      <c r="C227" s="69"/>
      <c r="D227" s="69"/>
      <c r="E227" s="69"/>
      <c r="F227" s="69"/>
      <c r="G227" s="69"/>
      <c r="H227" s="69"/>
      <c r="I227" s="69"/>
      <c r="J227" s="69"/>
      <c r="K227" s="69"/>
      <c r="L227" s="69"/>
      <c r="M227" s="69"/>
      <c r="N227" s="69"/>
      <c r="O227" s="69"/>
      <c r="P227" s="69"/>
      <c r="Q227" s="69"/>
      <c r="R227" s="69"/>
      <c r="S227" s="69"/>
      <c r="T227" s="69"/>
      <c r="U227" s="69"/>
      <c r="V227" s="69"/>
      <c r="W227" s="69"/>
      <c r="X227" s="69"/>
      <c r="Y227" s="69"/>
      <c r="Z227" s="69"/>
      <c r="AA227" s="69"/>
      <c r="AB227" s="69"/>
      <c r="AC227" s="69"/>
      <c r="AD227" s="69"/>
      <c r="AE227" s="69"/>
      <c r="AF227" s="69"/>
    </row>
    <row r="228" customFormat="false" ht="15" hidden="false" customHeight="false" outlineLevel="0" collapsed="false">
      <c r="B228" s="69"/>
      <c r="C228" s="69"/>
      <c r="D228" s="69"/>
      <c r="E228" s="69"/>
      <c r="F228" s="69"/>
      <c r="G228" s="69"/>
      <c r="H228" s="69"/>
      <c r="I228" s="69"/>
      <c r="J228" s="69"/>
      <c r="K228" s="69"/>
      <c r="L228" s="69"/>
      <c r="M228" s="69"/>
      <c r="N228" s="69"/>
      <c r="O228" s="69"/>
      <c r="P228" s="69"/>
      <c r="Q228" s="69"/>
      <c r="R228" s="69"/>
      <c r="S228" s="69"/>
      <c r="T228" s="69"/>
      <c r="U228" s="69"/>
      <c r="V228" s="69"/>
      <c r="W228" s="69"/>
      <c r="X228" s="69"/>
      <c r="Y228" s="69"/>
      <c r="Z228" s="69"/>
      <c r="AA228" s="69"/>
      <c r="AB228" s="69"/>
      <c r="AC228" s="69"/>
      <c r="AD228" s="69"/>
      <c r="AE228" s="69"/>
      <c r="AF228" s="69"/>
    </row>
    <row r="229" customFormat="false" ht="15" hidden="false" customHeight="false" outlineLevel="0" collapsed="false">
      <c r="B229" s="69"/>
      <c r="C229" s="69"/>
      <c r="D229" s="69"/>
      <c r="E229" s="69"/>
      <c r="F229" s="69"/>
      <c r="G229" s="69"/>
      <c r="H229" s="69"/>
      <c r="I229" s="69"/>
      <c r="J229" s="69"/>
      <c r="K229" s="69"/>
      <c r="L229" s="69"/>
      <c r="M229" s="69"/>
      <c r="N229" s="69"/>
      <c r="O229" s="69"/>
      <c r="P229" s="69"/>
      <c r="Q229" s="69"/>
      <c r="R229" s="69"/>
      <c r="S229" s="69"/>
      <c r="T229" s="69"/>
      <c r="U229" s="69"/>
      <c r="V229" s="69"/>
      <c r="W229" s="69"/>
      <c r="X229" s="69"/>
      <c r="Y229" s="69"/>
      <c r="Z229" s="69"/>
      <c r="AA229" s="69"/>
      <c r="AB229" s="69"/>
      <c r="AC229" s="69"/>
      <c r="AD229" s="69"/>
      <c r="AE229" s="69"/>
      <c r="AF229" s="69"/>
    </row>
    <row r="230" customFormat="false" ht="15" hidden="false" customHeight="false" outlineLevel="0" collapsed="false">
      <c r="B230" s="69"/>
      <c r="C230" s="69"/>
      <c r="D230" s="69"/>
      <c r="E230" s="69"/>
      <c r="F230" s="69"/>
      <c r="G230" s="69"/>
      <c r="H230" s="69"/>
      <c r="I230" s="69"/>
      <c r="J230" s="69"/>
      <c r="K230" s="69"/>
      <c r="L230" s="69"/>
      <c r="M230" s="69"/>
      <c r="N230" s="69"/>
      <c r="O230" s="69"/>
      <c r="P230" s="69"/>
      <c r="Q230" s="69"/>
      <c r="R230" s="69"/>
      <c r="S230" s="69"/>
      <c r="T230" s="69"/>
      <c r="U230" s="69"/>
      <c r="V230" s="69"/>
      <c r="W230" s="69"/>
      <c r="X230" s="69"/>
      <c r="Y230" s="69"/>
      <c r="Z230" s="69"/>
      <c r="AA230" s="69"/>
      <c r="AB230" s="69"/>
      <c r="AC230" s="69"/>
      <c r="AD230" s="69"/>
      <c r="AE230" s="69"/>
      <c r="AF230" s="69"/>
    </row>
    <row r="231" customFormat="false" ht="15" hidden="false" customHeight="false" outlineLevel="0" collapsed="false">
      <c r="B231" s="69"/>
      <c r="C231" s="69"/>
      <c r="D231" s="69"/>
      <c r="E231" s="69"/>
      <c r="F231" s="69"/>
      <c r="G231" s="69"/>
      <c r="H231" s="69"/>
      <c r="I231" s="69"/>
      <c r="J231" s="69"/>
      <c r="K231" s="69"/>
      <c r="L231" s="69"/>
      <c r="M231" s="69"/>
      <c r="N231" s="69"/>
      <c r="O231" s="69"/>
      <c r="P231" s="69"/>
      <c r="Q231" s="69"/>
      <c r="R231" s="69"/>
      <c r="S231" s="69"/>
      <c r="T231" s="69"/>
      <c r="U231" s="69"/>
      <c r="V231" s="69"/>
      <c r="W231" s="69"/>
      <c r="X231" s="69"/>
      <c r="Y231" s="69"/>
      <c r="Z231" s="69"/>
      <c r="AA231" s="69"/>
      <c r="AB231" s="69"/>
      <c r="AC231" s="69"/>
      <c r="AD231" s="69"/>
      <c r="AE231" s="69"/>
      <c r="AF231" s="69"/>
    </row>
    <row r="232" customFormat="false" ht="15" hidden="false" customHeight="false" outlineLevel="0" collapsed="false">
      <c r="B232" s="69"/>
      <c r="C232" s="69"/>
      <c r="D232" s="69"/>
      <c r="E232" s="69"/>
      <c r="F232" s="69"/>
      <c r="G232" s="69"/>
      <c r="H232" s="69"/>
      <c r="I232" s="69"/>
      <c r="J232" s="69"/>
      <c r="K232" s="69"/>
      <c r="L232" s="69"/>
      <c r="M232" s="69"/>
      <c r="N232" s="69"/>
      <c r="O232" s="69"/>
      <c r="P232" s="69"/>
      <c r="Q232" s="69"/>
      <c r="R232" s="69"/>
      <c r="S232" s="69"/>
      <c r="T232" s="69"/>
      <c r="U232" s="69"/>
      <c r="V232" s="69"/>
      <c r="W232" s="69"/>
      <c r="X232" s="69"/>
      <c r="Y232" s="69"/>
      <c r="Z232" s="69"/>
      <c r="AA232" s="69"/>
      <c r="AB232" s="69"/>
      <c r="AC232" s="69"/>
      <c r="AD232" s="69"/>
      <c r="AE232" s="69"/>
      <c r="AF232" s="69"/>
    </row>
    <row r="233" customFormat="false" ht="15" hidden="false" customHeight="false" outlineLevel="0" collapsed="false">
      <c r="B233" s="69"/>
      <c r="C233" s="69"/>
      <c r="D233" s="69"/>
      <c r="E233" s="69"/>
      <c r="F233" s="69"/>
      <c r="G233" s="69"/>
      <c r="H233" s="69"/>
      <c r="I233" s="69"/>
      <c r="J233" s="69"/>
      <c r="K233" s="69"/>
      <c r="L233" s="69"/>
      <c r="M233" s="69"/>
      <c r="N233" s="69"/>
      <c r="O233" s="69"/>
      <c r="P233" s="69"/>
      <c r="Q233" s="69"/>
      <c r="R233" s="69"/>
      <c r="S233" s="69"/>
      <c r="T233" s="69"/>
      <c r="U233" s="69"/>
      <c r="V233" s="69"/>
      <c r="W233" s="69"/>
      <c r="X233" s="69"/>
      <c r="Y233" s="69"/>
      <c r="Z233" s="69"/>
      <c r="AA233" s="69"/>
      <c r="AB233" s="69"/>
      <c r="AC233" s="69"/>
      <c r="AD233" s="69"/>
      <c r="AE233" s="69"/>
      <c r="AF233" s="69"/>
    </row>
    <row r="234" customFormat="false" ht="15" hidden="false" customHeight="false" outlineLevel="0" collapsed="false">
      <c r="B234" s="69"/>
      <c r="C234" s="69"/>
      <c r="D234" s="69"/>
      <c r="E234" s="69"/>
      <c r="F234" s="69"/>
      <c r="G234" s="69"/>
      <c r="H234" s="69"/>
      <c r="I234" s="69"/>
      <c r="J234" s="69"/>
      <c r="K234" s="69"/>
      <c r="L234" s="69"/>
      <c r="M234" s="69"/>
      <c r="N234" s="69"/>
      <c r="O234" s="69"/>
      <c r="P234" s="69"/>
      <c r="Q234" s="69"/>
      <c r="R234" s="69"/>
      <c r="S234" s="69"/>
      <c r="T234" s="69"/>
      <c r="U234" s="69"/>
      <c r="V234" s="69"/>
      <c r="W234" s="69"/>
      <c r="X234" s="69"/>
      <c r="Y234" s="69"/>
      <c r="Z234" s="69"/>
      <c r="AA234" s="69"/>
      <c r="AB234" s="69"/>
      <c r="AC234" s="69"/>
      <c r="AD234" s="69"/>
      <c r="AE234" s="69"/>
      <c r="AF234" s="69"/>
    </row>
    <row r="235" customFormat="false" ht="15" hidden="false" customHeight="false" outlineLevel="0" collapsed="false">
      <c r="B235" s="69"/>
      <c r="C235" s="69"/>
      <c r="D235" s="69"/>
      <c r="E235" s="69"/>
      <c r="F235" s="69"/>
      <c r="G235" s="69"/>
      <c r="H235" s="69"/>
      <c r="I235" s="69"/>
      <c r="J235" s="69"/>
      <c r="K235" s="69"/>
      <c r="L235" s="69"/>
      <c r="M235" s="69"/>
      <c r="N235" s="69"/>
      <c r="O235" s="69"/>
      <c r="P235" s="69"/>
      <c r="Q235" s="69"/>
      <c r="R235" s="69"/>
      <c r="S235" s="69"/>
      <c r="T235" s="69"/>
      <c r="U235" s="69"/>
      <c r="V235" s="69"/>
      <c r="W235" s="69"/>
      <c r="X235" s="69"/>
      <c r="Y235" s="69"/>
      <c r="Z235" s="69"/>
      <c r="AA235" s="69"/>
      <c r="AB235" s="69"/>
      <c r="AC235" s="69"/>
      <c r="AD235" s="69"/>
      <c r="AE235" s="69"/>
      <c r="AF235" s="69"/>
    </row>
    <row r="236" customFormat="false" ht="15" hidden="false" customHeight="false" outlineLevel="0" collapsed="false">
      <c r="B236" s="69"/>
      <c r="C236" s="69"/>
      <c r="D236" s="69"/>
      <c r="E236" s="69"/>
      <c r="F236" s="69"/>
      <c r="G236" s="69"/>
      <c r="H236" s="69"/>
      <c r="I236" s="69"/>
      <c r="J236" s="69"/>
      <c r="K236" s="69"/>
      <c r="L236" s="69"/>
      <c r="M236" s="69"/>
      <c r="N236" s="69"/>
      <c r="O236" s="69"/>
      <c r="P236" s="69"/>
      <c r="Q236" s="69"/>
      <c r="R236" s="69"/>
      <c r="S236" s="69"/>
      <c r="T236" s="69"/>
      <c r="U236" s="69"/>
      <c r="V236" s="69"/>
      <c r="W236" s="69"/>
      <c r="X236" s="69"/>
      <c r="Y236" s="69"/>
      <c r="Z236" s="69"/>
      <c r="AA236" s="69"/>
      <c r="AB236" s="69"/>
      <c r="AC236" s="69"/>
      <c r="AD236" s="69"/>
      <c r="AE236" s="69"/>
      <c r="AF236" s="69"/>
    </row>
    <row r="237" customFormat="false" ht="15" hidden="false" customHeight="false" outlineLevel="0" collapsed="false">
      <c r="B237" s="69"/>
      <c r="C237" s="69"/>
      <c r="D237" s="69"/>
      <c r="E237" s="69"/>
      <c r="F237" s="69"/>
      <c r="G237" s="69"/>
      <c r="H237" s="69"/>
      <c r="I237" s="69"/>
      <c r="J237" s="69"/>
      <c r="K237" s="69"/>
      <c r="L237" s="69"/>
      <c r="M237" s="69"/>
      <c r="N237" s="69"/>
      <c r="O237" s="69"/>
      <c r="P237" s="69"/>
      <c r="Q237" s="69"/>
      <c r="R237" s="69"/>
      <c r="S237" s="69"/>
      <c r="T237" s="69"/>
      <c r="U237" s="69"/>
      <c r="V237" s="69"/>
      <c r="W237" s="69"/>
      <c r="X237" s="69"/>
      <c r="Y237" s="69"/>
      <c r="Z237" s="69"/>
      <c r="AA237" s="69"/>
      <c r="AB237" s="69"/>
      <c r="AC237" s="69"/>
      <c r="AD237" s="69"/>
      <c r="AE237" s="69"/>
      <c r="AF237" s="69"/>
    </row>
    <row r="238" customFormat="false" ht="15" hidden="false" customHeight="false" outlineLevel="0" collapsed="false">
      <c r="B238" s="69"/>
      <c r="C238" s="69"/>
      <c r="D238" s="69"/>
      <c r="E238" s="69"/>
      <c r="F238" s="69"/>
      <c r="G238" s="69"/>
      <c r="H238" s="69"/>
      <c r="I238" s="69"/>
      <c r="J238" s="69"/>
      <c r="K238" s="69"/>
      <c r="L238" s="69"/>
      <c r="M238" s="69"/>
      <c r="N238" s="69"/>
      <c r="O238" s="69"/>
      <c r="P238" s="69"/>
      <c r="Q238" s="69"/>
      <c r="R238" s="69"/>
      <c r="S238" s="69"/>
      <c r="T238" s="69"/>
      <c r="U238" s="69"/>
      <c r="V238" s="69"/>
      <c r="W238" s="69"/>
      <c r="X238" s="69"/>
      <c r="Y238" s="69"/>
      <c r="Z238" s="69"/>
      <c r="AA238" s="69"/>
      <c r="AB238" s="69"/>
      <c r="AC238" s="69"/>
      <c r="AD238" s="69"/>
      <c r="AE238" s="69"/>
      <c r="AF238" s="69"/>
    </row>
    <row r="239" customFormat="false" ht="15" hidden="false" customHeight="false" outlineLevel="0" collapsed="false">
      <c r="B239" s="69"/>
      <c r="C239" s="69"/>
      <c r="D239" s="69"/>
      <c r="E239" s="69"/>
      <c r="F239" s="69"/>
      <c r="G239" s="69"/>
      <c r="H239" s="69"/>
      <c r="I239" s="69"/>
      <c r="J239" s="69"/>
      <c r="K239" s="69"/>
      <c r="L239" s="69"/>
      <c r="M239" s="69"/>
      <c r="N239" s="69"/>
      <c r="O239" s="69"/>
      <c r="P239" s="69"/>
      <c r="Q239" s="69"/>
      <c r="R239" s="69"/>
      <c r="S239" s="69"/>
      <c r="T239" s="69"/>
      <c r="U239" s="69"/>
      <c r="V239" s="69"/>
      <c r="W239" s="69"/>
      <c r="X239" s="69"/>
      <c r="Y239" s="69"/>
      <c r="Z239" s="69"/>
      <c r="AA239" s="69"/>
      <c r="AB239" s="69"/>
      <c r="AC239" s="69"/>
      <c r="AD239" s="69"/>
      <c r="AE239" s="69"/>
      <c r="AF239" s="69"/>
    </row>
    <row r="240" customFormat="false" ht="15" hidden="false" customHeight="false" outlineLevel="0" collapsed="false">
      <c r="B240" s="69"/>
      <c r="C240" s="69"/>
      <c r="D240" s="69"/>
      <c r="E240" s="69"/>
      <c r="F240" s="69"/>
      <c r="G240" s="69"/>
      <c r="H240" s="69"/>
      <c r="I240" s="69"/>
      <c r="J240" s="69"/>
      <c r="K240" s="69"/>
      <c r="L240" s="69"/>
      <c r="M240" s="69"/>
      <c r="N240" s="69"/>
      <c r="O240" s="69"/>
      <c r="P240" s="69"/>
      <c r="Q240" s="69"/>
      <c r="R240" s="69"/>
      <c r="S240" s="69"/>
      <c r="T240" s="69"/>
      <c r="U240" s="69"/>
      <c r="V240" s="69"/>
      <c r="W240" s="69"/>
      <c r="X240" s="69"/>
      <c r="Y240" s="69"/>
      <c r="Z240" s="69"/>
      <c r="AA240" s="69"/>
      <c r="AB240" s="69"/>
      <c r="AC240" s="69"/>
      <c r="AD240" s="69"/>
      <c r="AE240" s="69"/>
      <c r="AF240" s="69"/>
    </row>
    <row r="241" customFormat="false" ht="15" hidden="false" customHeight="false" outlineLevel="0" collapsed="false">
      <c r="B241" s="69"/>
      <c r="C241" s="69"/>
      <c r="D241" s="69"/>
      <c r="E241" s="69"/>
      <c r="F241" s="69"/>
      <c r="G241" s="69"/>
      <c r="H241" s="69"/>
      <c r="I241" s="69"/>
      <c r="J241" s="69"/>
      <c r="K241" s="69"/>
      <c r="L241" s="69"/>
      <c r="M241" s="69"/>
      <c r="N241" s="69"/>
      <c r="O241" s="69"/>
      <c r="P241" s="69"/>
      <c r="Q241" s="69"/>
      <c r="R241" s="69"/>
      <c r="S241" s="69"/>
      <c r="T241" s="69"/>
      <c r="U241" s="69"/>
      <c r="V241" s="69"/>
      <c r="W241" s="69"/>
      <c r="X241" s="69"/>
      <c r="Y241" s="69"/>
      <c r="Z241" s="69"/>
      <c r="AA241" s="69"/>
      <c r="AB241" s="69"/>
      <c r="AC241" s="69"/>
      <c r="AD241" s="69"/>
      <c r="AE241" s="69"/>
      <c r="AF241" s="69"/>
    </row>
    <row r="242" customFormat="false" ht="15" hidden="false" customHeight="false" outlineLevel="0" collapsed="false">
      <c r="B242" s="69"/>
      <c r="C242" s="69"/>
      <c r="D242" s="69"/>
      <c r="E242" s="69"/>
      <c r="F242" s="69"/>
      <c r="G242" s="69"/>
      <c r="H242" s="69"/>
      <c r="I242" s="69"/>
      <c r="J242" s="69"/>
      <c r="K242" s="69"/>
      <c r="L242" s="69"/>
      <c r="M242" s="69"/>
      <c r="N242" s="69"/>
      <c r="O242" s="69"/>
      <c r="P242" s="69"/>
      <c r="Q242" s="69"/>
      <c r="R242" s="69"/>
      <c r="S242" s="69"/>
      <c r="T242" s="69"/>
      <c r="U242" s="69"/>
      <c r="V242" s="69"/>
      <c r="W242" s="69"/>
      <c r="X242" s="69"/>
      <c r="Y242" s="69"/>
      <c r="Z242" s="69"/>
      <c r="AA242" s="69"/>
      <c r="AB242" s="69"/>
      <c r="AC242" s="69"/>
      <c r="AD242" s="69"/>
      <c r="AE242" s="69"/>
      <c r="AF242" s="69"/>
    </row>
    <row r="243" customFormat="false" ht="15" hidden="false" customHeight="false" outlineLevel="0" collapsed="false">
      <c r="B243" s="69"/>
      <c r="C243" s="69"/>
      <c r="D243" s="69"/>
      <c r="E243" s="69"/>
      <c r="F243" s="69"/>
      <c r="G243" s="69"/>
      <c r="H243" s="69"/>
      <c r="I243" s="69"/>
      <c r="J243" s="69"/>
      <c r="K243" s="69"/>
      <c r="L243" s="69"/>
      <c r="M243" s="69"/>
      <c r="N243" s="69"/>
      <c r="O243" s="69"/>
      <c r="P243" s="69"/>
      <c r="Q243" s="69"/>
      <c r="R243" s="69"/>
      <c r="S243" s="69"/>
      <c r="T243" s="69"/>
      <c r="U243" s="69"/>
      <c r="V243" s="69"/>
      <c r="W243" s="69"/>
      <c r="X243" s="69"/>
      <c r="Y243" s="69"/>
      <c r="Z243" s="69"/>
      <c r="AA243" s="69"/>
      <c r="AB243" s="69"/>
      <c r="AC243" s="69"/>
      <c r="AD243" s="69"/>
      <c r="AE243" s="69"/>
      <c r="AF243" s="69"/>
    </row>
    <row r="244" customFormat="false" ht="15" hidden="false" customHeight="false" outlineLevel="0" collapsed="false">
      <c r="B244" s="69"/>
      <c r="C244" s="69"/>
      <c r="D244" s="69"/>
      <c r="E244" s="69"/>
      <c r="F244" s="69"/>
      <c r="G244" s="69"/>
      <c r="H244" s="69"/>
      <c r="I244" s="69"/>
      <c r="J244" s="69"/>
      <c r="K244" s="69"/>
      <c r="L244" s="69"/>
      <c r="M244" s="69"/>
      <c r="N244" s="69"/>
      <c r="O244" s="69"/>
      <c r="P244" s="69"/>
      <c r="Q244" s="69"/>
      <c r="R244" s="69"/>
      <c r="S244" s="69"/>
      <c r="T244" s="69"/>
      <c r="U244" s="69"/>
      <c r="V244" s="69"/>
      <c r="W244" s="69"/>
      <c r="X244" s="69"/>
      <c r="Y244" s="69"/>
      <c r="Z244" s="69"/>
      <c r="AA244" s="69"/>
      <c r="AB244" s="69"/>
      <c r="AC244" s="69"/>
      <c r="AD244" s="69"/>
      <c r="AE244" s="69"/>
      <c r="AF244" s="69"/>
    </row>
    <row r="245" customFormat="false" ht="15" hidden="false" customHeight="false" outlineLevel="0" collapsed="false">
      <c r="B245" s="69"/>
      <c r="C245" s="69"/>
      <c r="D245" s="69"/>
      <c r="E245" s="69"/>
      <c r="F245" s="69"/>
      <c r="G245" s="69"/>
      <c r="H245" s="69"/>
      <c r="I245" s="69"/>
      <c r="J245" s="69"/>
      <c r="K245" s="69"/>
      <c r="L245" s="69"/>
      <c r="M245" s="69"/>
      <c r="N245" s="69"/>
      <c r="O245" s="69"/>
      <c r="P245" s="69"/>
      <c r="Q245" s="69"/>
      <c r="R245" s="69"/>
      <c r="S245" s="69"/>
      <c r="T245" s="69"/>
      <c r="U245" s="69"/>
      <c r="V245" s="69"/>
      <c r="W245" s="69"/>
      <c r="X245" s="69"/>
      <c r="Y245" s="69"/>
      <c r="Z245" s="69"/>
      <c r="AA245" s="69"/>
      <c r="AB245" s="69"/>
      <c r="AC245" s="69"/>
      <c r="AD245" s="69"/>
      <c r="AE245" s="69"/>
      <c r="AF245" s="69"/>
    </row>
    <row r="246" customFormat="false" ht="15" hidden="false" customHeight="false" outlineLevel="0" collapsed="false">
      <c r="B246" s="69"/>
      <c r="C246" s="69"/>
      <c r="D246" s="69"/>
      <c r="E246" s="69"/>
      <c r="F246" s="69"/>
      <c r="G246" s="69"/>
      <c r="H246" s="69"/>
      <c r="I246" s="69"/>
      <c r="J246" s="69"/>
      <c r="K246" s="69"/>
      <c r="L246" s="69"/>
      <c r="M246" s="69"/>
      <c r="N246" s="69"/>
      <c r="O246" s="69"/>
      <c r="P246" s="69"/>
      <c r="Q246" s="69"/>
      <c r="R246" s="69"/>
      <c r="S246" s="69"/>
      <c r="T246" s="69"/>
      <c r="U246" s="69"/>
      <c r="V246" s="69"/>
      <c r="W246" s="69"/>
      <c r="X246" s="69"/>
      <c r="Y246" s="69"/>
      <c r="Z246" s="69"/>
      <c r="AA246" s="69"/>
      <c r="AB246" s="69"/>
      <c r="AC246" s="69"/>
      <c r="AD246" s="69"/>
      <c r="AE246" s="69"/>
      <c r="AF246" s="69"/>
    </row>
    <row r="247" customFormat="false" ht="15" hidden="false" customHeight="false" outlineLevel="0" collapsed="false">
      <c r="B247" s="69"/>
      <c r="C247" s="69"/>
      <c r="D247" s="69"/>
      <c r="E247" s="69"/>
      <c r="F247" s="69"/>
      <c r="G247" s="69"/>
      <c r="H247" s="69"/>
      <c r="I247" s="69"/>
      <c r="J247" s="69"/>
      <c r="K247" s="69"/>
      <c r="L247" s="69"/>
      <c r="M247" s="69"/>
      <c r="N247" s="69"/>
      <c r="O247" s="69"/>
      <c r="P247" s="69"/>
      <c r="Q247" s="69"/>
      <c r="R247" s="69"/>
      <c r="S247" s="69"/>
      <c r="T247" s="69"/>
      <c r="U247" s="69"/>
      <c r="V247" s="69"/>
      <c r="W247" s="69"/>
      <c r="X247" s="69"/>
      <c r="Y247" s="69"/>
      <c r="Z247" s="69"/>
      <c r="AA247" s="69"/>
      <c r="AB247" s="69"/>
      <c r="AC247" s="69"/>
      <c r="AD247" s="69"/>
      <c r="AE247" s="69"/>
      <c r="AF247" s="69"/>
    </row>
    <row r="248" customFormat="false" ht="15" hidden="false" customHeight="false" outlineLevel="0" collapsed="false">
      <c r="B248" s="69"/>
      <c r="C248" s="69"/>
      <c r="D248" s="69"/>
      <c r="E248" s="69"/>
      <c r="F248" s="69"/>
      <c r="G248" s="69"/>
      <c r="H248" s="69"/>
      <c r="I248" s="69"/>
      <c r="J248" s="69"/>
      <c r="K248" s="69"/>
      <c r="L248" s="69"/>
      <c r="M248" s="69"/>
      <c r="N248" s="69"/>
      <c r="O248" s="69"/>
      <c r="P248" s="69"/>
      <c r="Q248" s="69"/>
      <c r="R248" s="69"/>
      <c r="S248" s="69"/>
      <c r="T248" s="69"/>
      <c r="U248" s="69"/>
      <c r="V248" s="69"/>
      <c r="W248" s="69"/>
      <c r="X248" s="69"/>
      <c r="Y248" s="69"/>
      <c r="Z248" s="69"/>
      <c r="AA248" s="69"/>
      <c r="AB248" s="69"/>
      <c r="AC248" s="69"/>
      <c r="AD248" s="69"/>
      <c r="AE248" s="69"/>
      <c r="AF248" s="69"/>
    </row>
    <row r="249" customFormat="false" ht="15" hidden="false" customHeight="false" outlineLevel="0" collapsed="false">
      <c r="B249" s="69"/>
      <c r="C249" s="69"/>
      <c r="D249" s="69"/>
      <c r="E249" s="69"/>
      <c r="F249" s="69"/>
      <c r="G249" s="69"/>
      <c r="H249" s="69"/>
      <c r="I249" s="69"/>
      <c r="J249" s="69"/>
      <c r="K249" s="69"/>
      <c r="L249" s="69"/>
      <c r="M249" s="69"/>
      <c r="N249" s="69"/>
      <c r="O249" s="69"/>
      <c r="P249" s="69"/>
      <c r="Q249" s="69"/>
      <c r="R249" s="69"/>
      <c r="S249" s="69"/>
      <c r="T249" s="69"/>
      <c r="U249" s="69"/>
      <c r="V249" s="69"/>
      <c r="W249" s="69"/>
      <c r="X249" s="69"/>
      <c r="Y249" s="69"/>
      <c r="Z249" s="69"/>
      <c r="AA249" s="69"/>
      <c r="AB249" s="69"/>
      <c r="AC249" s="69"/>
      <c r="AD249" s="69"/>
      <c r="AE249" s="69"/>
      <c r="AF249" s="69"/>
    </row>
    <row r="250" customFormat="false" ht="15" hidden="false" customHeight="false" outlineLevel="0" collapsed="false">
      <c r="B250" s="69"/>
      <c r="C250" s="69"/>
      <c r="D250" s="69"/>
      <c r="E250" s="69"/>
      <c r="F250" s="69"/>
      <c r="G250" s="69"/>
      <c r="H250" s="69"/>
      <c r="I250" s="69"/>
      <c r="J250" s="69"/>
      <c r="K250" s="69"/>
      <c r="L250" s="69"/>
      <c r="M250" s="69"/>
      <c r="N250" s="69"/>
      <c r="O250" s="69"/>
      <c r="P250" s="69"/>
      <c r="Q250" s="69"/>
      <c r="R250" s="69"/>
      <c r="S250" s="69"/>
      <c r="T250" s="69"/>
      <c r="U250" s="69"/>
      <c r="V250" s="69"/>
      <c r="W250" s="69"/>
      <c r="X250" s="69"/>
      <c r="Y250" s="69"/>
      <c r="Z250" s="69"/>
      <c r="AA250" s="69"/>
      <c r="AB250" s="69"/>
      <c r="AC250" s="69"/>
      <c r="AD250" s="69"/>
      <c r="AE250" s="69"/>
      <c r="AF250" s="69"/>
    </row>
    <row r="251" customFormat="false" ht="15" hidden="false" customHeight="false" outlineLevel="0" collapsed="false">
      <c r="B251" s="69"/>
      <c r="C251" s="69"/>
      <c r="D251" s="69"/>
      <c r="E251" s="69"/>
      <c r="F251" s="69"/>
      <c r="G251" s="69"/>
      <c r="H251" s="69"/>
      <c r="I251" s="69"/>
      <c r="J251" s="69"/>
      <c r="K251" s="69"/>
      <c r="L251" s="69"/>
      <c r="M251" s="69"/>
      <c r="N251" s="69"/>
      <c r="O251" s="69"/>
      <c r="P251" s="69"/>
      <c r="Q251" s="69"/>
      <c r="R251" s="69"/>
      <c r="S251" s="69"/>
      <c r="T251" s="69"/>
      <c r="U251" s="69"/>
      <c r="V251" s="69"/>
      <c r="W251" s="69"/>
      <c r="X251" s="69"/>
      <c r="Y251" s="69"/>
      <c r="Z251" s="69"/>
      <c r="AA251" s="69"/>
      <c r="AB251" s="69"/>
      <c r="AC251" s="69"/>
      <c r="AD251" s="69"/>
      <c r="AE251" s="69"/>
      <c r="AF251" s="69"/>
    </row>
    <row r="252" customFormat="false" ht="15" hidden="false" customHeight="false" outlineLevel="0" collapsed="false">
      <c r="B252" s="69"/>
      <c r="C252" s="69"/>
      <c r="D252" s="69"/>
      <c r="E252" s="69"/>
      <c r="F252" s="69"/>
      <c r="G252" s="69"/>
      <c r="H252" s="69"/>
      <c r="I252" s="69"/>
      <c r="J252" s="69"/>
      <c r="K252" s="69"/>
      <c r="L252" s="69"/>
      <c r="M252" s="69"/>
      <c r="N252" s="69"/>
      <c r="O252" s="69"/>
      <c r="P252" s="69"/>
      <c r="Q252" s="69"/>
      <c r="R252" s="69"/>
      <c r="S252" s="69"/>
      <c r="T252" s="69"/>
      <c r="U252" s="69"/>
      <c r="V252" s="69"/>
      <c r="W252" s="69"/>
      <c r="X252" s="69"/>
      <c r="Y252" s="69"/>
      <c r="Z252" s="69"/>
      <c r="AA252" s="69"/>
      <c r="AB252" s="69"/>
      <c r="AC252" s="69"/>
      <c r="AD252" s="69"/>
      <c r="AE252" s="69"/>
      <c r="AF252" s="69"/>
    </row>
    <row r="253" customFormat="false" ht="15" hidden="false" customHeight="false" outlineLevel="0" collapsed="false">
      <c r="B253" s="69"/>
      <c r="C253" s="69"/>
      <c r="D253" s="69"/>
      <c r="E253" s="69"/>
      <c r="F253" s="69"/>
      <c r="G253" s="69"/>
      <c r="H253" s="69"/>
      <c r="I253" s="69"/>
      <c r="J253" s="69"/>
      <c r="K253" s="69"/>
      <c r="L253" s="69"/>
      <c r="M253" s="69"/>
      <c r="N253" s="69"/>
      <c r="O253" s="69"/>
      <c r="P253" s="69"/>
      <c r="Q253" s="69"/>
      <c r="R253" s="69"/>
      <c r="S253" s="69"/>
      <c r="T253" s="69"/>
      <c r="U253" s="69"/>
      <c r="V253" s="69"/>
      <c r="W253" s="69"/>
      <c r="X253" s="69"/>
      <c r="Y253" s="69"/>
      <c r="Z253" s="69"/>
      <c r="AA253" s="69"/>
      <c r="AB253" s="69"/>
      <c r="AC253" s="69"/>
      <c r="AD253" s="69"/>
      <c r="AE253" s="69"/>
      <c r="AF253" s="69"/>
    </row>
    <row r="254" customFormat="false" ht="15" hidden="false" customHeight="false" outlineLevel="0" collapsed="false">
      <c r="B254" s="69"/>
      <c r="C254" s="69"/>
      <c r="D254" s="69"/>
      <c r="E254" s="69"/>
      <c r="F254" s="69"/>
      <c r="G254" s="69"/>
      <c r="H254" s="69"/>
      <c r="I254" s="69"/>
      <c r="J254" s="69"/>
      <c r="K254" s="69"/>
      <c r="L254" s="69"/>
      <c r="M254" s="69"/>
      <c r="N254" s="69"/>
      <c r="O254" s="69"/>
      <c r="P254" s="69"/>
      <c r="Q254" s="69"/>
      <c r="R254" s="69"/>
      <c r="S254" s="69"/>
      <c r="T254" s="69"/>
      <c r="U254" s="69"/>
      <c r="V254" s="69"/>
      <c r="W254" s="69"/>
      <c r="X254" s="69"/>
      <c r="Y254" s="69"/>
      <c r="Z254" s="69"/>
      <c r="AA254" s="69"/>
      <c r="AB254" s="69"/>
      <c r="AC254" s="69"/>
      <c r="AD254" s="69"/>
      <c r="AE254" s="69"/>
      <c r="AF254" s="69"/>
    </row>
    <row r="255" customFormat="false" ht="15" hidden="false" customHeight="false" outlineLevel="0" collapsed="false">
      <c r="B255" s="69"/>
      <c r="C255" s="69"/>
      <c r="D255" s="69"/>
      <c r="E255" s="69"/>
      <c r="F255" s="69"/>
      <c r="G255" s="69"/>
      <c r="H255" s="69"/>
      <c r="I255" s="69"/>
      <c r="J255" s="69"/>
      <c r="K255" s="69"/>
      <c r="L255" s="69"/>
      <c r="M255" s="69"/>
      <c r="N255" s="69"/>
      <c r="O255" s="69"/>
      <c r="P255" s="69"/>
      <c r="Q255" s="69"/>
      <c r="R255" s="69"/>
      <c r="S255" s="69"/>
      <c r="T255" s="69"/>
      <c r="U255" s="69"/>
      <c r="V255" s="69"/>
      <c r="W255" s="69"/>
      <c r="X255" s="69"/>
      <c r="Y255" s="69"/>
      <c r="Z255" s="69"/>
      <c r="AA255" s="69"/>
      <c r="AB255" s="69"/>
      <c r="AC255" s="69"/>
      <c r="AD255" s="69"/>
      <c r="AE255" s="69"/>
      <c r="AF255" s="69"/>
    </row>
    <row r="256" customFormat="false" ht="15" hidden="false" customHeight="false" outlineLevel="0" collapsed="false">
      <c r="B256" s="69"/>
      <c r="C256" s="69"/>
      <c r="D256" s="69"/>
      <c r="E256" s="69"/>
      <c r="F256" s="69"/>
      <c r="G256" s="69"/>
      <c r="H256" s="69"/>
      <c r="I256" s="69"/>
      <c r="J256" s="69"/>
      <c r="K256" s="69"/>
      <c r="L256" s="69"/>
      <c r="M256" s="69"/>
      <c r="N256" s="69"/>
      <c r="O256" s="69"/>
      <c r="P256" s="69"/>
      <c r="Q256" s="69"/>
      <c r="R256" s="69"/>
      <c r="S256" s="69"/>
      <c r="T256" s="69"/>
      <c r="U256" s="69"/>
      <c r="V256" s="69"/>
      <c r="W256" s="69"/>
      <c r="X256" s="69"/>
      <c r="Y256" s="69"/>
      <c r="Z256" s="69"/>
      <c r="AA256" s="69"/>
      <c r="AB256" s="69"/>
      <c r="AC256" s="69"/>
      <c r="AD256" s="69"/>
      <c r="AE256" s="69"/>
      <c r="AF256" s="69"/>
    </row>
    <row r="257" customFormat="false" ht="15" hidden="false" customHeight="false" outlineLevel="0" collapsed="false">
      <c r="B257" s="69"/>
      <c r="C257" s="69"/>
      <c r="D257" s="69"/>
      <c r="E257" s="69"/>
      <c r="F257" s="69"/>
      <c r="G257" s="69"/>
      <c r="H257" s="69"/>
      <c r="I257" s="69"/>
      <c r="J257" s="69"/>
      <c r="K257" s="69"/>
      <c r="L257" s="69"/>
      <c r="M257" s="69"/>
      <c r="N257" s="69"/>
      <c r="O257" s="69"/>
      <c r="P257" s="69"/>
      <c r="Q257" s="69"/>
      <c r="R257" s="69"/>
      <c r="S257" s="69"/>
      <c r="T257" s="69"/>
      <c r="U257" s="69"/>
      <c r="V257" s="69"/>
      <c r="W257" s="69"/>
      <c r="X257" s="69"/>
      <c r="Y257" s="69"/>
      <c r="Z257" s="69"/>
      <c r="AA257" s="69"/>
      <c r="AB257" s="69"/>
      <c r="AC257" s="69"/>
      <c r="AD257" s="69"/>
      <c r="AE257" s="69"/>
      <c r="AF257" s="69"/>
    </row>
    <row r="258" customFormat="false" ht="15" hidden="false" customHeight="false" outlineLevel="0" collapsed="false">
      <c r="B258" s="69"/>
      <c r="C258" s="69"/>
      <c r="D258" s="69"/>
      <c r="E258" s="69"/>
      <c r="F258" s="69"/>
      <c r="G258" s="69"/>
      <c r="H258" s="69"/>
      <c r="I258" s="69"/>
      <c r="J258" s="69"/>
      <c r="K258" s="69"/>
      <c r="L258" s="69"/>
      <c r="M258" s="69"/>
      <c r="N258" s="69"/>
      <c r="O258" s="69"/>
      <c r="P258" s="69"/>
      <c r="Q258" s="69"/>
      <c r="R258" s="69"/>
      <c r="S258" s="69"/>
      <c r="T258" s="69"/>
      <c r="U258" s="69"/>
      <c r="V258" s="69"/>
      <c r="W258" s="69"/>
      <c r="X258" s="69"/>
      <c r="Y258" s="69"/>
      <c r="Z258" s="69"/>
      <c r="AA258" s="69"/>
      <c r="AB258" s="69"/>
      <c r="AC258" s="69"/>
      <c r="AD258" s="69"/>
      <c r="AE258" s="69"/>
      <c r="AF258" s="69"/>
    </row>
    <row r="259" customFormat="false" ht="15" hidden="false" customHeight="false" outlineLevel="0" collapsed="false">
      <c r="B259" s="69"/>
      <c r="C259" s="69"/>
      <c r="D259" s="69"/>
      <c r="E259" s="69"/>
      <c r="F259" s="69"/>
      <c r="G259" s="69"/>
      <c r="H259" s="69"/>
      <c r="I259" s="69"/>
      <c r="J259" s="69"/>
      <c r="K259" s="69"/>
      <c r="L259" s="69"/>
      <c r="M259" s="69"/>
      <c r="N259" s="69"/>
      <c r="O259" s="69"/>
      <c r="P259" s="69"/>
      <c r="Q259" s="69"/>
      <c r="R259" s="69"/>
      <c r="S259" s="69"/>
      <c r="T259" s="69"/>
      <c r="U259" s="69"/>
      <c r="V259" s="69"/>
      <c r="W259" s="69"/>
      <c r="X259" s="69"/>
      <c r="Y259" s="69"/>
      <c r="Z259" s="69"/>
      <c r="AA259" s="69"/>
      <c r="AB259" s="69"/>
      <c r="AC259" s="69"/>
      <c r="AD259" s="69"/>
      <c r="AE259" s="69"/>
      <c r="AF259" s="69"/>
    </row>
    <row r="260" customFormat="false" ht="15" hidden="false" customHeight="false" outlineLevel="0" collapsed="false">
      <c r="B260" s="69"/>
      <c r="C260" s="69"/>
      <c r="D260" s="69"/>
      <c r="E260" s="69"/>
      <c r="F260" s="69"/>
      <c r="G260" s="69"/>
      <c r="H260" s="69"/>
      <c r="I260" s="69"/>
      <c r="J260" s="69"/>
      <c r="K260" s="69"/>
      <c r="L260" s="69"/>
      <c r="M260" s="69"/>
      <c r="N260" s="69"/>
      <c r="O260" s="69"/>
      <c r="P260" s="69"/>
      <c r="Q260" s="69"/>
      <c r="R260" s="69"/>
      <c r="S260" s="69"/>
      <c r="T260" s="69"/>
      <c r="U260" s="69"/>
      <c r="V260" s="69"/>
      <c r="W260" s="69"/>
      <c r="X260" s="69"/>
      <c r="Y260" s="69"/>
      <c r="Z260" s="69"/>
      <c r="AA260" s="69"/>
      <c r="AB260" s="69"/>
      <c r="AC260" s="69"/>
      <c r="AD260" s="69"/>
      <c r="AE260" s="69"/>
      <c r="AF260" s="69"/>
    </row>
    <row r="261" customFormat="false" ht="15" hidden="false" customHeight="false" outlineLevel="0" collapsed="false">
      <c r="B261" s="69"/>
      <c r="C261" s="69"/>
      <c r="D261" s="69"/>
      <c r="E261" s="69"/>
      <c r="F261" s="69"/>
      <c r="G261" s="69"/>
      <c r="H261" s="69"/>
      <c r="I261" s="69"/>
      <c r="J261" s="69"/>
      <c r="K261" s="69"/>
      <c r="L261" s="69"/>
      <c r="M261" s="69"/>
      <c r="N261" s="69"/>
      <c r="O261" s="69"/>
      <c r="P261" s="69"/>
      <c r="Q261" s="69"/>
      <c r="R261" s="69"/>
      <c r="S261" s="69"/>
      <c r="T261" s="69"/>
      <c r="U261" s="69"/>
      <c r="V261" s="69"/>
      <c r="W261" s="69"/>
      <c r="X261" s="69"/>
      <c r="Y261" s="69"/>
      <c r="Z261" s="69"/>
      <c r="AA261" s="69"/>
      <c r="AB261" s="69"/>
      <c r="AC261" s="69"/>
      <c r="AD261" s="69"/>
      <c r="AE261" s="69"/>
      <c r="AF261" s="69"/>
    </row>
    <row r="262" customFormat="false" ht="15" hidden="false" customHeight="false" outlineLevel="0" collapsed="false">
      <c r="B262" s="69"/>
      <c r="C262" s="69"/>
      <c r="D262" s="69"/>
      <c r="E262" s="69"/>
      <c r="F262" s="69"/>
      <c r="G262" s="69"/>
      <c r="H262" s="69"/>
      <c r="I262" s="69"/>
      <c r="J262" s="69"/>
      <c r="K262" s="69"/>
      <c r="L262" s="69"/>
      <c r="M262" s="69"/>
      <c r="N262" s="69"/>
      <c r="O262" s="69"/>
      <c r="P262" s="69"/>
      <c r="Q262" s="69"/>
      <c r="R262" s="69"/>
      <c r="S262" s="69"/>
      <c r="T262" s="69"/>
      <c r="U262" s="69"/>
      <c r="V262" s="69"/>
      <c r="W262" s="69"/>
      <c r="X262" s="69"/>
      <c r="Y262" s="69"/>
      <c r="Z262" s="69"/>
      <c r="AA262" s="69"/>
      <c r="AB262" s="69"/>
      <c r="AC262" s="69"/>
      <c r="AD262" s="69"/>
      <c r="AE262" s="69"/>
      <c r="AF262" s="69"/>
    </row>
    <row r="263" customFormat="false" ht="15" hidden="false" customHeight="false" outlineLevel="0" collapsed="false">
      <c r="B263" s="69"/>
      <c r="C263" s="69"/>
      <c r="D263" s="69"/>
      <c r="E263" s="69"/>
      <c r="F263" s="69"/>
      <c r="G263" s="69"/>
      <c r="H263" s="69"/>
      <c r="I263" s="69"/>
      <c r="J263" s="69"/>
      <c r="K263" s="69"/>
      <c r="L263" s="69"/>
      <c r="M263" s="69"/>
      <c r="N263" s="69"/>
      <c r="O263" s="69"/>
      <c r="P263" s="69"/>
      <c r="Q263" s="69"/>
      <c r="R263" s="69"/>
      <c r="S263" s="69"/>
      <c r="T263" s="69"/>
      <c r="U263" s="69"/>
      <c r="V263" s="69"/>
      <c r="W263" s="69"/>
      <c r="X263" s="69"/>
      <c r="Y263" s="69"/>
      <c r="Z263" s="69"/>
      <c r="AA263" s="69"/>
      <c r="AB263" s="69"/>
      <c r="AC263" s="69"/>
      <c r="AD263" s="69"/>
      <c r="AE263" s="69"/>
      <c r="AF263" s="69"/>
    </row>
    <row r="264" customFormat="false" ht="15" hidden="false" customHeight="false" outlineLevel="0" collapsed="false">
      <c r="B264" s="69"/>
      <c r="C264" s="69"/>
      <c r="D264" s="69"/>
      <c r="E264" s="69"/>
      <c r="F264" s="69"/>
      <c r="G264" s="69"/>
      <c r="H264" s="69"/>
      <c r="I264" s="69"/>
      <c r="J264" s="69"/>
      <c r="K264" s="69"/>
      <c r="L264" s="69"/>
      <c r="M264" s="69"/>
      <c r="N264" s="69"/>
      <c r="O264" s="69"/>
      <c r="P264" s="69"/>
      <c r="Q264" s="69"/>
      <c r="R264" s="69"/>
      <c r="S264" s="69"/>
      <c r="T264" s="69"/>
      <c r="U264" s="69"/>
      <c r="V264" s="69"/>
      <c r="W264" s="69"/>
      <c r="X264" s="69"/>
      <c r="Y264" s="69"/>
      <c r="Z264" s="69"/>
      <c r="AA264" s="69"/>
      <c r="AB264" s="69"/>
      <c r="AC264" s="69"/>
      <c r="AD264" s="69"/>
      <c r="AE264" s="69"/>
      <c r="AF264" s="69"/>
    </row>
    <row r="265" customFormat="false" ht="15" hidden="false" customHeight="false" outlineLevel="0" collapsed="false">
      <c r="B265" s="69"/>
      <c r="C265" s="69"/>
      <c r="D265" s="69"/>
      <c r="E265" s="69"/>
      <c r="F265" s="69"/>
      <c r="G265" s="69"/>
      <c r="H265" s="69"/>
      <c r="I265" s="69"/>
      <c r="J265" s="69"/>
      <c r="K265" s="69"/>
      <c r="L265" s="69"/>
      <c r="M265" s="69"/>
      <c r="N265" s="69"/>
      <c r="O265" s="69"/>
      <c r="P265" s="69"/>
      <c r="Q265" s="69"/>
      <c r="R265" s="69"/>
      <c r="S265" s="69"/>
      <c r="T265" s="69"/>
      <c r="U265" s="69"/>
      <c r="V265" s="69"/>
      <c r="W265" s="69"/>
      <c r="X265" s="69"/>
      <c r="Y265" s="69"/>
      <c r="Z265" s="69"/>
      <c r="AA265" s="69"/>
      <c r="AB265" s="69"/>
      <c r="AC265" s="69"/>
      <c r="AD265" s="69"/>
      <c r="AE265" s="69"/>
      <c r="AF265" s="69"/>
    </row>
    <row r="266" customFormat="false" ht="15" hidden="false" customHeight="false" outlineLevel="0" collapsed="false">
      <c r="B266" s="69"/>
      <c r="C266" s="69"/>
      <c r="D266" s="69"/>
      <c r="E266" s="69"/>
      <c r="F266" s="69"/>
      <c r="G266" s="69"/>
      <c r="H266" s="69"/>
      <c r="I266" s="69"/>
      <c r="J266" s="69"/>
      <c r="K266" s="69"/>
      <c r="L266" s="69"/>
      <c r="M266" s="69"/>
      <c r="N266" s="69"/>
      <c r="O266" s="69"/>
      <c r="P266" s="69"/>
      <c r="Q266" s="69"/>
      <c r="R266" s="69"/>
      <c r="S266" s="69"/>
      <c r="T266" s="69"/>
      <c r="U266" s="69"/>
      <c r="V266" s="69"/>
      <c r="W266" s="69"/>
      <c r="X266" s="69"/>
      <c r="Y266" s="69"/>
      <c r="Z266" s="69"/>
      <c r="AA266" s="69"/>
      <c r="AB266" s="69"/>
      <c r="AC266" s="69"/>
      <c r="AD266" s="69"/>
      <c r="AE266" s="69"/>
      <c r="AF266" s="69"/>
    </row>
    <row r="267" customFormat="false" ht="15" hidden="false" customHeight="false" outlineLevel="0" collapsed="false">
      <c r="B267" s="69"/>
      <c r="C267" s="69"/>
      <c r="D267" s="69"/>
      <c r="E267" s="69"/>
      <c r="F267" s="69"/>
      <c r="G267" s="69"/>
      <c r="H267" s="69"/>
      <c r="I267" s="69"/>
      <c r="J267" s="69"/>
      <c r="K267" s="69"/>
      <c r="L267" s="69"/>
      <c r="M267" s="69"/>
      <c r="N267" s="69"/>
      <c r="O267" s="69"/>
      <c r="P267" s="69"/>
      <c r="Q267" s="69"/>
      <c r="R267" s="69"/>
      <c r="S267" s="69"/>
      <c r="T267" s="69"/>
      <c r="U267" s="69"/>
      <c r="V267" s="69"/>
      <c r="W267" s="69"/>
      <c r="X267" s="69"/>
      <c r="Y267" s="69"/>
      <c r="Z267" s="69"/>
      <c r="AA267" s="69"/>
      <c r="AB267" s="69"/>
      <c r="AC267" s="69"/>
      <c r="AD267" s="69"/>
      <c r="AE267" s="69"/>
      <c r="AF267" s="69"/>
    </row>
    <row r="268" customFormat="false" ht="15" hidden="false" customHeight="false" outlineLevel="0" collapsed="false">
      <c r="B268" s="69"/>
      <c r="C268" s="69"/>
      <c r="D268" s="69"/>
      <c r="E268" s="69"/>
      <c r="F268" s="69"/>
      <c r="G268" s="69"/>
      <c r="H268" s="69"/>
      <c r="I268" s="69"/>
      <c r="J268" s="69"/>
      <c r="K268" s="69"/>
      <c r="L268" s="69"/>
      <c r="M268" s="69"/>
      <c r="N268" s="69"/>
      <c r="O268" s="69"/>
      <c r="P268" s="69"/>
      <c r="Q268" s="69"/>
      <c r="R268" s="69"/>
      <c r="S268" s="69"/>
      <c r="T268" s="69"/>
      <c r="U268" s="69"/>
      <c r="V268" s="69"/>
      <c r="W268" s="69"/>
      <c r="X268" s="69"/>
      <c r="Y268" s="69"/>
      <c r="Z268" s="69"/>
      <c r="AA268" s="69"/>
      <c r="AB268" s="69"/>
      <c r="AC268" s="69"/>
      <c r="AD268" s="69"/>
      <c r="AE268" s="69"/>
      <c r="AF268" s="69"/>
    </row>
    <row r="269" customFormat="false" ht="15" hidden="false" customHeight="false" outlineLevel="0" collapsed="false">
      <c r="B269" s="69"/>
      <c r="C269" s="69"/>
      <c r="D269" s="69"/>
      <c r="E269" s="69"/>
      <c r="F269" s="69"/>
      <c r="G269" s="69"/>
      <c r="H269" s="69"/>
      <c r="I269" s="69"/>
      <c r="J269" s="69"/>
      <c r="K269" s="69"/>
      <c r="L269" s="69"/>
      <c r="M269" s="69"/>
      <c r="N269" s="69"/>
      <c r="O269" s="69"/>
      <c r="P269" s="69"/>
      <c r="Q269" s="69"/>
      <c r="R269" s="69"/>
      <c r="S269" s="69"/>
      <c r="T269" s="69"/>
      <c r="U269" s="69"/>
      <c r="V269" s="69"/>
      <c r="W269" s="69"/>
      <c r="X269" s="69"/>
      <c r="Y269" s="69"/>
      <c r="Z269" s="69"/>
      <c r="AA269" s="69"/>
      <c r="AB269" s="69"/>
      <c r="AC269" s="69"/>
      <c r="AD269" s="69"/>
      <c r="AE269" s="69"/>
      <c r="AF269" s="69"/>
    </row>
    <row r="270" customFormat="false" ht="15" hidden="false" customHeight="false" outlineLevel="0" collapsed="false">
      <c r="B270" s="69"/>
      <c r="C270" s="69"/>
      <c r="D270" s="69"/>
      <c r="E270" s="69"/>
      <c r="F270" s="69"/>
      <c r="G270" s="69"/>
      <c r="H270" s="69"/>
      <c r="I270" s="69"/>
      <c r="J270" s="69"/>
      <c r="K270" s="69"/>
      <c r="L270" s="69"/>
      <c r="M270" s="69"/>
      <c r="N270" s="69"/>
      <c r="O270" s="69"/>
      <c r="P270" s="69"/>
      <c r="Q270" s="69"/>
      <c r="R270" s="69"/>
      <c r="S270" s="69"/>
      <c r="T270" s="69"/>
      <c r="U270" s="69"/>
      <c r="V270" s="69"/>
      <c r="W270" s="69"/>
      <c r="X270" s="69"/>
      <c r="Y270" s="69"/>
      <c r="Z270" s="69"/>
      <c r="AA270" s="69"/>
      <c r="AB270" s="69"/>
      <c r="AC270" s="69"/>
      <c r="AD270" s="69"/>
      <c r="AE270" s="69"/>
      <c r="AF270" s="69"/>
    </row>
    <row r="271" customFormat="false" ht="15" hidden="false" customHeight="false" outlineLevel="0" collapsed="false">
      <c r="B271" s="69"/>
      <c r="C271" s="69"/>
      <c r="D271" s="69"/>
      <c r="E271" s="69"/>
      <c r="F271" s="69"/>
      <c r="G271" s="69"/>
      <c r="H271" s="69"/>
      <c r="I271" s="69"/>
      <c r="J271" s="69"/>
      <c r="K271" s="69"/>
      <c r="L271" s="69"/>
      <c r="M271" s="69"/>
      <c r="N271" s="69"/>
      <c r="O271" s="69"/>
      <c r="P271" s="69"/>
      <c r="Q271" s="69"/>
      <c r="R271" s="69"/>
      <c r="S271" s="69"/>
      <c r="T271" s="69"/>
      <c r="U271" s="69"/>
      <c r="V271" s="69"/>
      <c r="W271" s="69"/>
      <c r="X271" s="69"/>
      <c r="Y271" s="69"/>
      <c r="Z271" s="69"/>
      <c r="AA271" s="69"/>
      <c r="AB271" s="69"/>
      <c r="AC271" s="69"/>
      <c r="AD271" s="69"/>
      <c r="AE271" s="69"/>
      <c r="AF271" s="69"/>
    </row>
    <row r="272" customFormat="false" ht="15" hidden="false" customHeight="false" outlineLevel="0" collapsed="false">
      <c r="B272" s="69"/>
      <c r="C272" s="69"/>
      <c r="D272" s="69"/>
      <c r="E272" s="69"/>
      <c r="F272" s="69"/>
      <c r="G272" s="69"/>
      <c r="H272" s="69"/>
      <c r="I272" s="69"/>
      <c r="J272" s="69"/>
      <c r="K272" s="69"/>
      <c r="L272" s="69"/>
      <c r="M272" s="69"/>
      <c r="N272" s="69"/>
      <c r="O272" s="69"/>
      <c r="P272" s="69"/>
      <c r="Q272" s="69"/>
      <c r="R272" s="69"/>
      <c r="S272" s="69"/>
      <c r="T272" s="69"/>
      <c r="U272" s="69"/>
      <c r="V272" s="69"/>
      <c r="W272" s="69"/>
      <c r="X272" s="69"/>
      <c r="Y272" s="69"/>
      <c r="Z272" s="69"/>
      <c r="AA272" s="69"/>
      <c r="AB272" s="69"/>
      <c r="AC272" s="69"/>
      <c r="AD272" s="69"/>
      <c r="AE272" s="69"/>
      <c r="AF272" s="69"/>
    </row>
    <row r="273" customFormat="false" ht="15" hidden="false" customHeight="false" outlineLevel="0" collapsed="false">
      <c r="B273" s="69"/>
      <c r="C273" s="69"/>
      <c r="D273" s="69"/>
      <c r="E273" s="69"/>
      <c r="F273" s="69"/>
      <c r="G273" s="69"/>
      <c r="H273" s="69"/>
      <c r="I273" s="69"/>
      <c r="J273" s="69"/>
      <c r="K273" s="69"/>
      <c r="L273" s="69"/>
      <c r="M273" s="69"/>
      <c r="N273" s="69"/>
      <c r="O273" s="69"/>
      <c r="P273" s="69"/>
      <c r="Q273" s="69"/>
      <c r="R273" s="69"/>
      <c r="S273" s="69"/>
      <c r="T273" s="69"/>
      <c r="U273" s="69"/>
      <c r="V273" s="69"/>
      <c r="W273" s="69"/>
      <c r="X273" s="69"/>
      <c r="Y273" s="69"/>
      <c r="Z273" s="69"/>
      <c r="AA273" s="69"/>
      <c r="AB273" s="69"/>
      <c r="AC273" s="69"/>
      <c r="AD273" s="69"/>
      <c r="AE273" s="69"/>
      <c r="AF273" s="69"/>
    </row>
    <row r="274" customFormat="false" ht="15" hidden="false" customHeight="false" outlineLevel="0" collapsed="false">
      <c r="B274" s="69"/>
      <c r="C274" s="69"/>
      <c r="D274" s="69"/>
      <c r="E274" s="69"/>
      <c r="F274" s="69"/>
      <c r="G274" s="69"/>
      <c r="H274" s="69"/>
      <c r="I274" s="69"/>
      <c r="J274" s="69"/>
      <c r="K274" s="69"/>
      <c r="L274" s="69"/>
      <c r="M274" s="69"/>
      <c r="N274" s="69"/>
      <c r="O274" s="69"/>
      <c r="P274" s="69"/>
      <c r="Q274" s="69"/>
      <c r="R274" s="69"/>
      <c r="S274" s="69"/>
      <c r="T274" s="69"/>
      <c r="U274" s="69"/>
      <c r="V274" s="69"/>
      <c r="W274" s="69"/>
      <c r="X274" s="69"/>
      <c r="Y274" s="69"/>
      <c r="Z274" s="69"/>
      <c r="AA274" s="69"/>
      <c r="AB274" s="69"/>
      <c r="AC274" s="69"/>
      <c r="AD274" s="69"/>
      <c r="AE274" s="69"/>
      <c r="AF274" s="69"/>
    </row>
    <row r="275" customFormat="false" ht="15" hidden="false" customHeight="false" outlineLevel="0" collapsed="false">
      <c r="B275" s="69"/>
      <c r="C275" s="69"/>
      <c r="D275" s="69"/>
      <c r="E275" s="69"/>
      <c r="F275" s="69"/>
      <c r="G275" s="69"/>
      <c r="H275" s="69"/>
      <c r="I275" s="69"/>
      <c r="J275" s="69"/>
      <c r="K275" s="69"/>
      <c r="L275" s="69"/>
      <c r="M275" s="69"/>
      <c r="N275" s="69"/>
      <c r="O275" s="69"/>
      <c r="P275" s="69"/>
      <c r="Q275" s="69"/>
      <c r="R275" s="69"/>
      <c r="S275" s="69"/>
      <c r="T275" s="69"/>
      <c r="U275" s="69"/>
      <c r="V275" s="69"/>
      <c r="W275" s="69"/>
      <c r="X275" s="69"/>
      <c r="Y275" s="69"/>
      <c r="Z275" s="69"/>
      <c r="AA275" s="69"/>
      <c r="AB275" s="69"/>
      <c r="AC275" s="69"/>
      <c r="AD275" s="69"/>
      <c r="AE275" s="69"/>
      <c r="AF275" s="69"/>
    </row>
    <row r="276" customFormat="false" ht="15" hidden="false" customHeight="false" outlineLevel="0" collapsed="false">
      <c r="B276" s="69"/>
      <c r="C276" s="69"/>
      <c r="D276" s="69"/>
      <c r="E276" s="69"/>
      <c r="F276" s="69"/>
      <c r="G276" s="69"/>
      <c r="H276" s="69"/>
      <c r="I276" s="69"/>
      <c r="J276" s="69"/>
      <c r="K276" s="69"/>
      <c r="L276" s="69"/>
      <c r="M276" s="69"/>
      <c r="N276" s="69"/>
      <c r="O276" s="69"/>
      <c r="P276" s="69"/>
      <c r="Q276" s="69"/>
      <c r="R276" s="69"/>
      <c r="S276" s="69"/>
      <c r="T276" s="69"/>
      <c r="U276" s="69"/>
      <c r="V276" s="69"/>
      <c r="W276" s="69"/>
      <c r="X276" s="69"/>
      <c r="Y276" s="69"/>
      <c r="Z276" s="69"/>
      <c r="AA276" s="69"/>
      <c r="AB276" s="69"/>
      <c r="AC276" s="69"/>
      <c r="AD276" s="69"/>
      <c r="AE276" s="69"/>
      <c r="AF276" s="69"/>
    </row>
    <row r="277" customFormat="false" ht="15" hidden="false" customHeight="false" outlineLevel="0" collapsed="false">
      <c r="B277" s="69"/>
      <c r="C277" s="69"/>
      <c r="D277" s="69"/>
      <c r="E277" s="69"/>
      <c r="F277" s="69"/>
      <c r="G277" s="69"/>
      <c r="H277" s="69"/>
      <c r="I277" s="69"/>
      <c r="J277" s="69"/>
      <c r="K277" s="69"/>
      <c r="L277" s="69"/>
      <c r="M277" s="69"/>
      <c r="N277" s="69"/>
      <c r="O277" s="69"/>
      <c r="P277" s="69"/>
      <c r="Q277" s="69"/>
      <c r="R277" s="69"/>
      <c r="S277" s="69"/>
      <c r="T277" s="69"/>
      <c r="U277" s="69"/>
      <c r="V277" s="69"/>
      <c r="W277" s="69"/>
      <c r="X277" s="69"/>
      <c r="Y277" s="69"/>
      <c r="Z277" s="69"/>
      <c r="AA277" s="69"/>
      <c r="AB277" s="69"/>
      <c r="AC277" s="69"/>
      <c r="AD277" s="69"/>
      <c r="AE277" s="69"/>
      <c r="AF277" s="69"/>
    </row>
    <row r="278" customFormat="false" ht="15" hidden="false" customHeight="false" outlineLevel="0" collapsed="false">
      <c r="B278" s="69"/>
      <c r="C278" s="69"/>
      <c r="D278" s="69"/>
      <c r="E278" s="69"/>
      <c r="F278" s="69"/>
      <c r="G278" s="69"/>
      <c r="H278" s="69"/>
      <c r="I278" s="69"/>
      <c r="J278" s="69"/>
      <c r="K278" s="69"/>
      <c r="L278" s="69"/>
      <c r="M278" s="69"/>
      <c r="N278" s="69"/>
      <c r="O278" s="69"/>
      <c r="P278" s="69"/>
      <c r="Q278" s="69"/>
      <c r="R278" s="69"/>
      <c r="S278" s="69"/>
      <c r="T278" s="69"/>
      <c r="U278" s="69"/>
      <c r="V278" s="69"/>
      <c r="W278" s="69"/>
      <c r="X278" s="69"/>
      <c r="Y278" s="69"/>
      <c r="Z278" s="69"/>
      <c r="AA278" s="69"/>
      <c r="AB278" s="69"/>
      <c r="AC278" s="69"/>
      <c r="AD278" s="69"/>
      <c r="AE278" s="69"/>
      <c r="AF278" s="69"/>
    </row>
    <row r="279" customFormat="false" ht="15" hidden="false" customHeight="false" outlineLevel="0" collapsed="false">
      <c r="B279" s="69"/>
      <c r="C279" s="69"/>
      <c r="D279" s="69"/>
      <c r="E279" s="69"/>
      <c r="F279" s="69"/>
      <c r="G279" s="69"/>
      <c r="H279" s="69"/>
      <c r="I279" s="69"/>
      <c r="J279" s="69"/>
      <c r="K279" s="69"/>
      <c r="L279" s="69"/>
      <c r="M279" s="69"/>
      <c r="N279" s="69"/>
      <c r="O279" s="69"/>
      <c r="P279" s="69"/>
      <c r="Q279" s="69"/>
      <c r="R279" s="69"/>
      <c r="S279" s="69"/>
      <c r="T279" s="69"/>
      <c r="U279" s="69"/>
      <c r="V279" s="69"/>
      <c r="W279" s="69"/>
      <c r="X279" s="69"/>
      <c r="Y279" s="69"/>
      <c r="Z279" s="69"/>
      <c r="AA279" s="69"/>
      <c r="AB279" s="69"/>
      <c r="AC279" s="69"/>
      <c r="AD279" s="69"/>
      <c r="AE279" s="69"/>
      <c r="AF279" s="69"/>
    </row>
    <row r="280" customFormat="false" ht="15" hidden="false" customHeight="false" outlineLevel="0" collapsed="false">
      <c r="B280" s="69"/>
      <c r="C280" s="69"/>
      <c r="D280" s="69"/>
      <c r="E280" s="69"/>
      <c r="F280" s="69"/>
      <c r="G280" s="69"/>
      <c r="H280" s="69"/>
      <c r="I280" s="69"/>
      <c r="J280" s="69"/>
      <c r="K280" s="69"/>
      <c r="L280" s="69"/>
      <c r="M280" s="69"/>
      <c r="N280" s="69"/>
      <c r="O280" s="69"/>
      <c r="P280" s="69"/>
      <c r="Q280" s="69"/>
      <c r="R280" s="69"/>
      <c r="S280" s="69"/>
      <c r="T280" s="69"/>
      <c r="U280" s="69"/>
      <c r="V280" s="69"/>
      <c r="W280" s="69"/>
      <c r="X280" s="69"/>
      <c r="Y280" s="69"/>
      <c r="Z280" s="69"/>
      <c r="AA280" s="69"/>
      <c r="AB280" s="69"/>
      <c r="AC280" s="69"/>
      <c r="AD280" s="69"/>
      <c r="AE280" s="69"/>
      <c r="AF280" s="69"/>
    </row>
    <row r="281" customFormat="false" ht="15" hidden="false" customHeight="false" outlineLevel="0" collapsed="false">
      <c r="B281" s="69"/>
      <c r="C281" s="69"/>
      <c r="D281" s="69"/>
      <c r="E281" s="69"/>
      <c r="F281" s="69"/>
      <c r="G281" s="69"/>
      <c r="H281" s="69"/>
      <c r="I281" s="69"/>
      <c r="J281" s="69"/>
      <c r="K281" s="69"/>
      <c r="L281" s="69"/>
      <c r="M281" s="69"/>
      <c r="N281" s="69"/>
      <c r="O281" s="69"/>
      <c r="P281" s="69"/>
      <c r="Q281" s="69"/>
      <c r="R281" s="69"/>
      <c r="S281" s="69"/>
      <c r="T281" s="69"/>
      <c r="U281" s="69"/>
      <c r="V281" s="69"/>
      <c r="W281" s="69"/>
      <c r="X281" s="69"/>
      <c r="Y281" s="69"/>
      <c r="Z281" s="69"/>
      <c r="AA281" s="69"/>
      <c r="AB281" s="69"/>
      <c r="AC281" s="69"/>
      <c r="AD281" s="69"/>
      <c r="AE281" s="69"/>
      <c r="AF281" s="69"/>
    </row>
    <row r="282" customFormat="false" ht="15" hidden="false" customHeight="false" outlineLevel="0" collapsed="false">
      <c r="B282" s="69"/>
      <c r="C282" s="69"/>
      <c r="D282" s="69"/>
      <c r="E282" s="69"/>
      <c r="F282" s="69"/>
      <c r="G282" s="69"/>
      <c r="H282" s="69"/>
      <c r="I282" s="69"/>
      <c r="J282" s="69"/>
      <c r="K282" s="69"/>
      <c r="L282" s="69"/>
      <c r="M282" s="69"/>
      <c r="N282" s="69"/>
      <c r="O282" s="69"/>
      <c r="P282" s="69"/>
      <c r="Q282" s="69"/>
      <c r="R282" s="69"/>
      <c r="S282" s="69"/>
      <c r="T282" s="69"/>
      <c r="U282" s="69"/>
      <c r="V282" s="69"/>
      <c r="W282" s="69"/>
      <c r="X282" s="69"/>
      <c r="Y282" s="69"/>
      <c r="Z282" s="69"/>
      <c r="AA282" s="69"/>
      <c r="AB282" s="69"/>
      <c r="AC282" s="69"/>
      <c r="AD282" s="69"/>
      <c r="AE282" s="69"/>
      <c r="AF282" s="69"/>
    </row>
    <row r="283" customFormat="false" ht="15" hidden="false" customHeight="false" outlineLevel="0" collapsed="false">
      <c r="B283" s="69"/>
      <c r="C283" s="69"/>
      <c r="D283" s="69"/>
      <c r="E283" s="69"/>
      <c r="F283" s="69"/>
      <c r="G283" s="69"/>
      <c r="H283" s="69"/>
      <c r="I283" s="69"/>
      <c r="J283" s="69"/>
      <c r="K283" s="69"/>
      <c r="L283" s="69"/>
      <c r="M283" s="69"/>
      <c r="N283" s="69"/>
      <c r="O283" s="69"/>
      <c r="P283" s="69"/>
      <c r="Q283" s="69"/>
      <c r="R283" s="69"/>
      <c r="S283" s="69"/>
      <c r="T283" s="69"/>
      <c r="U283" s="69"/>
      <c r="V283" s="69"/>
      <c r="W283" s="69"/>
      <c r="X283" s="69"/>
      <c r="Y283" s="69"/>
      <c r="Z283" s="69"/>
      <c r="AA283" s="69"/>
      <c r="AB283" s="69"/>
      <c r="AC283" s="69"/>
      <c r="AD283" s="69"/>
      <c r="AE283" s="69"/>
      <c r="AF283" s="69"/>
    </row>
    <row r="284" customFormat="false" ht="15" hidden="false" customHeight="false" outlineLevel="0" collapsed="false">
      <c r="B284" s="69"/>
      <c r="C284" s="69"/>
      <c r="D284" s="69"/>
      <c r="E284" s="69"/>
      <c r="F284" s="69"/>
      <c r="G284" s="69"/>
      <c r="H284" s="69"/>
      <c r="I284" s="69"/>
      <c r="J284" s="69"/>
      <c r="K284" s="69"/>
      <c r="L284" s="69"/>
      <c r="M284" s="69"/>
      <c r="N284" s="69"/>
      <c r="O284" s="69"/>
      <c r="P284" s="69"/>
      <c r="Q284" s="69"/>
      <c r="R284" s="69"/>
      <c r="S284" s="69"/>
      <c r="T284" s="69"/>
      <c r="U284" s="69"/>
      <c r="V284" s="69"/>
      <c r="W284" s="69"/>
      <c r="X284" s="69"/>
      <c r="Y284" s="69"/>
      <c r="Z284" s="69"/>
      <c r="AA284" s="69"/>
      <c r="AB284" s="69"/>
      <c r="AC284" s="69"/>
      <c r="AD284" s="69"/>
      <c r="AE284" s="69"/>
      <c r="AF284" s="69"/>
    </row>
    <row r="285" customFormat="false" ht="15" hidden="false" customHeight="false" outlineLevel="0" collapsed="false">
      <c r="B285" s="69"/>
      <c r="C285" s="69"/>
      <c r="D285" s="69"/>
      <c r="E285" s="69"/>
      <c r="F285" s="69"/>
      <c r="G285" s="69"/>
      <c r="H285" s="69"/>
      <c r="I285" s="69"/>
      <c r="J285" s="69"/>
      <c r="K285" s="69"/>
      <c r="L285" s="69"/>
      <c r="M285" s="69"/>
      <c r="N285" s="69"/>
      <c r="O285" s="69"/>
      <c r="P285" s="69"/>
      <c r="Q285" s="69"/>
      <c r="R285" s="69"/>
      <c r="S285" s="69"/>
      <c r="T285" s="69"/>
      <c r="U285" s="69"/>
      <c r="V285" s="69"/>
      <c r="W285" s="69"/>
      <c r="X285" s="69"/>
      <c r="Y285" s="69"/>
      <c r="Z285" s="69"/>
      <c r="AA285" s="69"/>
      <c r="AB285" s="69"/>
      <c r="AC285" s="69"/>
      <c r="AD285" s="69"/>
      <c r="AE285" s="69"/>
      <c r="AF285" s="69"/>
    </row>
    <row r="286" customFormat="false" ht="15" hidden="false" customHeight="false" outlineLevel="0" collapsed="false">
      <c r="B286" s="69"/>
      <c r="C286" s="69"/>
      <c r="D286" s="69"/>
      <c r="E286" s="69"/>
      <c r="F286" s="69"/>
      <c r="G286" s="69"/>
      <c r="H286" s="69"/>
      <c r="I286" s="69"/>
      <c r="J286" s="69"/>
      <c r="K286" s="69"/>
      <c r="L286" s="69"/>
      <c r="M286" s="69"/>
      <c r="N286" s="69"/>
      <c r="O286" s="69"/>
      <c r="P286" s="69"/>
      <c r="Q286" s="69"/>
      <c r="R286" s="69"/>
      <c r="S286" s="69"/>
      <c r="T286" s="69"/>
      <c r="U286" s="69"/>
      <c r="V286" s="69"/>
      <c r="W286" s="69"/>
      <c r="X286" s="69"/>
      <c r="Y286" s="69"/>
      <c r="Z286" s="69"/>
      <c r="AA286" s="69"/>
      <c r="AB286" s="69"/>
      <c r="AC286" s="69"/>
      <c r="AD286" s="69"/>
      <c r="AE286" s="69"/>
      <c r="AF286" s="69"/>
    </row>
    <row r="287" customFormat="false" ht="15" hidden="false" customHeight="false" outlineLevel="0" collapsed="false">
      <c r="B287" s="69"/>
      <c r="C287" s="69"/>
      <c r="D287" s="69"/>
      <c r="E287" s="69"/>
      <c r="F287" s="69"/>
      <c r="G287" s="69"/>
      <c r="H287" s="69"/>
      <c r="I287" s="69"/>
      <c r="J287" s="69"/>
      <c r="K287" s="69"/>
      <c r="L287" s="69"/>
      <c r="M287" s="69"/>
      <c r="N287" s="69"/>
      <c r="O287" s="69"/>
      <c r="P287" s="69"/>
      <c r="Q287" s="69"/>
      <c r="R287" s="69"/>
      <c r="S287" s="69"/>
      <c r="T287" s="69"/>
      <c r="U287" s="69"/>
      <c r="V287" s="69"/>
      <c r="W287" s="69"/>
      <c r="X287" s="69"/>
      <c r="Y287" s="69"/>
      <c r="Z287" s="69"/>
      <c r="AA287" s="69"/>
      <c r="AB287" s="69"/>
      <c r="AC287" s="69"/>
      <c r="AD287" s="69"/>
      <c r="AE287" s="69"/>
      <c r="AF287" s="69"/>
    </row>
    <row r="288" customFormat="false" ht="15" hidden="false" customHeight="false" outlineLevel="0" collapsed="false">
      <c r="B288" s="69"/>
      <c r="C288" s="69"/>
      <c r="D288" s="69"/>
      <c r="E288" s="69"/>
      <c r="F288" s="69"/>
      <c r="G288" s="69"/>
      <c r="H288" s="69"/>
      <c r="I288" s="69"/>
      <c r="J288" s="69"/>
      <c r="K288" s="69"/>
      <c r="L288" s="69"/>
      <c r="M288" s="69"/>
      <c r="N288" s="69"/>
      <c r="O288" s="69"/>
      <c r="P288" s="69"/>
      <c r="Q288" s="69"/>
      <c r="R288" s="69"/>
      <c r="S288" s="69"/>
      <c r="T288" s="69"/>
      <c r="U288" s="69"/>
      <c r="V288" s="69"/>
      <c r="W288" s="69"/>
      <c r="X288" s="69"/>
      <c r="Y288" s="69"/>
      <c r="Z288" s="69"/>
      <c r="AA288" s="69"/>
      <c r="AB288" s="69"/>
      <c r="AC288" s="69"/>
      <c r="AD288" s="69"/>
      <c r="AE288" s="69"/>
      <c r="AF288" s="69"/>
    </row>
    <row r="289" customFormat="false" ht="15" hidden="false" customHeight="false" outlineLevel="0" collapsed="false">
      <c r="B289" s="69"/>
      <c r="C289" s="69"/>
      <c r="D289" s="69"/>
      <c r="E289" s="69"/>
      <c r="F289" s="69"/>
      <c r="G289" s="69"/>
      <c r="H289" s="69"/>
      <c r="I289" s="69"/>
      <c r="J289" s="69"/>
      <c r="K289" s="69"/>
      <c r="L289" s="69"/>
      <c r="M289" s="69"/>
      <c r="N289" s="69"/>
      <c r="O289" s="69"/>
      <c r="P289" s="69"/>
      <c r="Q289" s="69"/>
      <c r="R289" s="69"/>
      <c r="S289" s="69"/>
      <c r="T289" s="69"/>
      <c r="U289" s="69"/>
      <c r="V289" s="69"/>
      <c r="W289" s="69"/>
      <c r="X289" s="69"/>
      <c r="Y289" s="69"/>
      <c r="Z289" s="69"/>
      <c r="AA289" s="69"/>
      <c r="AB289" s="69"/>
      <c r="AC289" s="69"/>
      <c r="AD289" s="69"/>
      <c r="AE289" s="69"/>
      <c r="AF289" s="69"/>
    </row>
    <row r="290" customFormat="false" ht="15" hidden="false" customHeight="false" outlineLevel="0" collapsed="false">
      <c r="B290" s="69"/>
      <c r="C290" s="69"/>
      <c r="D290" s="69"/>
      <c r="E290" s="69"/>
      <c r="F290" s="69"/>
      <c r="G290" s="69"/>
      <c r="H290" s="69"/>
      <c r="I290" s="69"/>
      <c r="J290" s="69"/>
      <c r="K290" s="69"/>
      <c r="L290" s="69"/>
      <c r="M290" s="69"/>
      <c r="N290" s="69"/>
      <c r="O290" s="69"/>
      <c r="P290" s="69"/>
      <c r="Q290" s="69"/>
      <c r="R290" s="69"/>
      <c r="S290" s="69"/>
      <c r="T290" s="69"/>
      <c r="U290" s="69"/>
      <c r="V290" s="69"/>
      <c r="W290" s="69"/>
      <c r="X290" s="69"/>
      <c r="Y290" s="69"/>
      <c r="Z290" s="69"/>
      <c r="AA290" s="69"/>
      <c r="AB290" s="69"/>
      <c r="AC290" s="69"/>
      <c r="AD290" s="69"/>
      <c r="AE290" s="69"/>
      <c r="AF290" s="69"/>
    </row>
    <row r="291" customFormat="false" ht="15" hidden="false" customHeight="false" outlineLevel="0" collapsed="false">
      <c r="B291" s="69"/>
      <c r="C291" s="69"/>
      <c r="D291" s="69"/>
      <c r="E291" s="69"/>
      <c r="F291" s="69"/>
      <c r="G291" s="69"/>
      <c r="H291" s="69"/>
      <c r="I291" s="69"/>
      <c r="J291" s="69"/>
      <c r="K291" s="69"/>
      <c r="L291" s="69"/>
      <c r="M291" s="69"/>
      <c r="N291" s="69"/>
      <c r="O291" s="69"/>
      <c r="P291" s="69"/>
      <c r="Q291" s="69"/>
      <c r="R291" s="69"/>
      <c r="S291" s="69"/>
      <c r="T291" s="69"/>
      <c r="U291" s="69"/>
      <c r="V291" s="69"/>
      <c r="W291" s="69"/>
      <c r="X291" s="69"/>
      <c r="Y291" s="69"/>
      <c r="Z291" s="69"/>
      <c r="AA291" s="69"/>
      <c r="AB291" s="69"/>
      <c r="AC291" s="69"/>
      <c r="AD291" s="69"/>
      <c r="AE291" s="69"/>
      <c r="AF291" s="69"/>
    </row>
    <row r="292" customFormat="false" ht="15" hidden="false" customHeight="false" outlineLevel="0" collapsed="false">
      <c r="B292" s="69"/>
      <c r="C292" s="69"/>
      <c r="D292" s="69"/>
      <c r="E292" s="69"/>
      <c r="F292" s="69"/>
      <c r="G292" s="69"/>
      <c r="H292" s="69"/>
      <c r="I292" s="69"/>
      <c r="J292" s="69"/>
      <c r="K292" s="69"/>
      <c r="L292" s="69"/>
      <c r="M292" s="69"/>
      <c r="N292" s="69"/>
      <c r="O292" s="69"/>
      <c r="P292" s="69"/>
      <c r="Q292" s="69"/>
      <c r="R292" s="69"/>
      <c r="S292" s="69"/>
      <c r="T292" s="69"/>
      <c r="U292" s="69"/>
      <c r="V292" s="69"/>
      <c r="W292" s="69"/>
      <c r="X292" s="69"/>
      <c r="Y292" s="69"/>
      <c r="Z292" s="69"/>
      <c r="AA292" s="69"/>
      <c r="AB292" s="69"/>
      <c r="AC292" s="69"/>
      <c r="AD292" s="69"/>
      <c r="AE292" s="69"/>
      <c r="AF292" s="69"/>
    </row>
    <row r="293" customFormat="false" ht="15" hidden="false" customHeight="false" outlineLevel="0" collapsed="false">
      <c r="B293" s="69"/>
      <c r="C293" s="69"/>
      <c r="D293" s="69"/>
      <c r="E293" s="69"/>
      <c r="F293" s="69"/>
      <c r="G293" s="69"/>
      <c r="H293" s="69"/>
      <c r="I293" s="69"/>
      <c r="J293" s="69"/>
      <c r="K293" s="69"/>
      <c r="L293" s="69"/>
      <c r="M293" s="69"/>
      <c r="N293" s="69"/>
      <c r="O293" s="69"/>
      <c r="P293" s="69"/>
      <c r="Q293" s="69"/>
      <c r="R293" s="69"/>
      <c r="S293" s="69"/>
      <c r="T293" s="69"/>
      <c r="U293" s="69"/>
      <c r="V293" s="69"/>
      <c r="W293" s="69"/>
      <c r="X293" s="69"/>
      <c r="Y293" s="69"/>
      <c r="Z293" s="69"/>
      <c r="AA293" s="69"/>
      <c r="AB293" s="69"/>
      <c r="AC293" s="69"/>
      <c r="AD293" s="69"/>
      <c r="AE293" s="69"/>
      <c r="AF293" s="69"/>
    </row>
    <row r="294" customFormat="false" ht="15" hidden="false" customHeight="false" outlineLevel="0" collapsed="false">
      <c r="B294" s="69"/>
      <c r="C294" s="69"/>
      <c r="D294" s="69"/>
      <c r="E294" s="69"/>
      <c r="F294" s="69"/>
      <c r="G294" s="69"/>
      <c r="H294" s="69"/>
      <c r="I294" s="69"/>
      <c r="J294" s="69"/>
      <c r="K294" s="69"/>
      <c r="L294" s="69"/>
      <c r="M294" s="69"/>
      <c r="N294" s="69"/>
      <c r="O294" s="69"/>
      <c r="P294" s="69"/>
      <c r="Q294" s="69"/>
      <c r="R294" s="69"/>
      <c r="S294" s="69"/>
      <c r="T294" s="69"/>
      <c r="U294" s="69"/>
      <c r="V294" s="69"/>
      <c r="W294" s="69"/>
      <c r="X294" s="69"/>
      <c r="Y294" s="69"/>
      <c r="Z294" s="69"/>
      <c r="AA294" s="69"/>
      <c r="AB294" s="69"/>
      <c r="AC294" s="69"/>
      <c r="AD294" s="69"/>
      <c r="AE294" s="69"/>
      <c r="AF294" s="69"/>
    </row>
    <row r="295" customFormat="false" ht="15" hidden="false" customHeight="false" outlineLevel="0" collapsed="false">
      <c r="B295" s="69"/>
      <c r="C295" s="69"/>
      <c r="D295" s="69"/>
      <c r="E295" s="69"/>
      <c r="F295" s="69"/>
      <c r="G295" s="69"/>
      <c r="H295" s="69"/>
      <c r="I295" s="69"/>
      <c r="J295" s="69"/>
      <c r="K295" s="69"/>
      <c r="L295" s="69"/>
      <c r="M295" s="69"/>
      <c r="N295" s="69"/>
      <c r="O295" s="69"/>
      <c r="P295" s="69"/>
      <c r="Q295" s="69"/>
      <c r="R295" s="69"/>
      <c r="S295" s="69"/>
      <c r="T295" s="69"/>
      <c r="U295" s="69"/>
      <c r="V295" s="69"/>
      <c r="W295" s="69"/>
      <c r="X295" s="69"/>
      <c r="Y295" s="69"/>
      <c r="Z295" s="69"/>
      <c r="AA295" s="69"/>
      <c r="AB295" s="69"/>
      <c r="AC295" s="69"/>
      <c r="AD295" s="69"/>
      <c r="AE295" s="69"/>
      <c r="AF295" s="69"/>
    </row>
    <row r="296" customFormat="false" ht="15" hidden="false" customHeight="false" outlineLevel="0" collapsed="false">
      <c r="B296" s="69"/>
      <c r="C296" s="69"/>
      <c r="D296" s="69"/>
      <c r="E296" s="69"/>
      <c r="F296" s="69"/>
      <c r="G296" s="69"/>
      <c r="H296" s="69"/>
      <c r="I296" s="69"/>
      <c r="J296" s="69"/>
      <c r="K296" s="69"/>
      <c r="L296" s="69"/>
      <c r="M296" s="69"/>
      <c r="N296" s="69"/>
      <c r="O296" s="69"/>
      <c r="P296" s="69"/>
      <c r="Q296" s="69"/>
      <c r="R296" s="69"/>
      <c r="S296" s="69"/>
      <c r="T296" s="69"/>
      <c r="U296" s="69"/>
      <c r="V296" s="69"/>
      <c r="W296" s="69"/>
      <c r="X296" s="69"/>
      <c r="Y296" s="69"/>
      <c r="Z296" s="69"/>
      <c r="AA296" s="69"/>
      <c r="AB296" s="69"/>
      <c r="AC296" s="69"/>
      <c r="AD296" s="69"/>
      <c r="AE296" s="69"/>
      <c r="AF296" s="69"/>
    </row>
    <row r="297" customFormat="false" ht="15" hidden="false" customHeight="false" outlineLevel="0" collapsed="false">
      <c r="B297" s="69"/>
      <c r="C297" s="69"/>
      <c r="D297" s="69"/>
      <c r="E297" s="69"/>
      <c r="F297" s="69"/>
      <c r="G297" s="69"/>
      <c r="H297" s="69"/>
      <c r="I297" s="69"/>
      <c r="J297" s="69"/>
      <c r="K297" s="69"/>
      <c r="L297" s="69"/>
      <c r="M297" s="69"/>
      <c r="N297" s="69"/>
      <c r="O297" s="69"/>
      <c r="P297" s="69"/>
      <c r="Q297" s="69"/>
      <c r="R297" s="69"/>
      <c r="S297" s="69"/>
      <c r="T297" s="69"/>
      <c r="U297" s="69"/>
      <c r="V297" s="69"/>
      <c r="W297" s="69"/>
      <c r="X297" s="69"/>
      <c r="Y297" s="69"/>
      <c r="Z297" s="69"/>
      <c r="AA297" s="69"/>
      <c r="AB297" s="69"/>
      <c r="AC297" s="69"/>
      <c r="AD297" s="69"/>
      <c r="AE297" s="69"/>
      <c r="AF297" s="69"/>
    </row>
    <row r="298" customFormat="false" ht="15" hidden="false" customHeight="false" outlineLevel="0" collapsed="false">
      <c r="B298" s="69"/>
      <c r="C298" s="69"/>
      <c r="D298" s="69"/>
      <c r="E298" s="69"/>
      <c r="F298" s="69"/>
      <c r="G298" s="69"/>
      <c r="H298" s="69"/>
      <c r="I298" s="69"/>
      <c r="J298" s="69"/>
      <c r="K298" s="69"/>
      <c r="L298" s="69"/>
      <c r="M298" s="69"/>
      <c r="N298" s="69"/>
      <c r="O298" s="69"/>
      <c r="P298" s="69"/>
      <c r="Q298" s="69"/>
      <c r="R298" s="69"/>
      <c r="S298" s="69"/>
      <c r="T298" s="69"/>
      <c r="U298" s="69"/>
      <c r="V298" s="69"/>
      <c r="W298" s="69"/>
      <c r="X298" s="69"/>
      <c r="Y298" s="69"/>
      <c r="Z298" s="69"/>
      <c r="AA298" s="69"/>
      <c r="AB298" s="69"/>
      <c r="AC298" s="69"/>
      <c r="AD298" s="69"/>
      <c r="AE298" s="69"/>
      <c r="AF298" s="69"/>
    </row>
    <row r="299" customFormat="false" ht="15" hidden="false" customHeight="false" outlineLevel="0" collapsed="false">
      <c r="B299" s="69"/>
      <c r="C299" s="69"/>
      <c r="D299" s="69"/>
      <c r="E299" s="69"/>
      <c r="F299" s="69"/>
      <c r="G299" s="69"/>
      <c r="H299" s="69"/>
      <c r="I299" s="69"/>
      <c r="J299" s="69"/>
      <c r="K299" s="69"/>
      <c r="L299" s="69"/>
      <c r="M299" s="69"/>
      <c r="N299" s="69"/>
      <c r="O299" s="69"/>
      <c r="P299" s="69"/>
      <c r="Q299" s="69"/>
      <c r="R299" s="69"/>
      <c r="S299" s="69"/>
      <c r="T299" s="69"/>
      <c r="U299" s="69"/>
      <c r="V299" s="69"/>
      <c r="W299" s="69"/>
      <c r="X299" s="69"/>
      <c r="Y299" s="69"/>
      <c r="Z299" s="69"/>
      <c r="AA299" s="69"/>
      <c r="AB299" s="69"/>
      <c r="AC299" s="69"/>
      <c r="AD299" s="69"/>
      <c r="AE299" s="69"/>
      <c r="AF299" s="69"/>
    </row>
    <row r="300" customFormat="false" ht="15" hidden="false" customHeight="false" outlineLevel="0" collapsed="false">
      <c r="B300" s="69"/>
      <c r="C300" s="69"/>
      <c r="D300" s="69"/>
      <c r="E300" s="69"/>
      <c r="F300" s="69"/>
      <c r="G300" s="69"/>
      <c r="H300" s="69"/>
      <c r="I300" s="69"/>
      <c r="J300" s="69"/>
      <c r="K300" s="69"/>
      <c r="L300" s="69"/>
      <c r="M300" s="69"/>
      <c r="N300" s="69"/>
      <c r="O300" s="69"/>
      <c r="P300" s="69"/>
      <c r="Q300" s="69"/>
      <c r="R300" s="69"/>
      <c r="S300" s="69"/>
      <c r="T300" s="69"/>
      <c r="U300" s="69"/>
      <c r="V300" s="69"/>
      <c r="W300" s="69"/>
      <c r="X300" s="69"/>
      <c r="Y300" s="69"/>
      <c r="Z300" s="69"/>
      <c r="AA300" s="69"/>
      <c r="AB300" s="69"/>
      <c r="AC300" s="69"/>
      <c r="AD300" s="69"/>
      <c r="AE300" s="69"/>
      <c r="AF300" s="69"/>
    </row>
    <row r="301" customFormat="false" ht="15" hidden="false" customHeight="false" outlineLevel="0" collapsed="false">
      <c r="B301" s="69"/>
      <c r="C301" s="69"/>
      <c r="D301" s="69"/>
      <c r="E301" s="69"/>
      <c r="F301" s="69"/>
      <c r="G301" s="69"/>
      <c r="H301" s="69"/>
      <c r="I301" s="69"/>
      <c r="J301" s="69"/>
      <c r="K301" s="69"/>
      <c r="L301" s="69"/>
      <c r="M301" s="69"/>
      <c r="N301" s="69"/>
      <c r="O301" s="69"/>
      <c r="P301" s="69"/>
      <c r="Q301" s="69"/>
      <c r="R301" s="69"/>
      <c r="S301" s="69"/>
      <c r="T301" s="69"/>
      <c r="U301" s="69"/>
      <c r="V301" s="69"/>
      <c r="W301" s="69"/>
      <c r="X301" s="69"/>
      <c r="Y301" s="69"/>
      <c r="Z301" s="69"/>
      <c r="AA301" s="69"/>
      <c r="AB301" s="69"/>
      <c r="AC301" s="69"/>
      <c r="AD301" s="69"/>
      <c r="AE301" s="69"/>
      <c r="AF301" s="69"/>
    </row>
    <row r="302" customFormat="false" ht="15" hidden="false" customHeight="false" outlineLevel="0" collapsed="false">
      <c r="B302" s="69"/>
      <c r="C302" s="69"/>
      <c r="D302" s="69"/>
      <c r="E302" s="69"/>
      <c r="F302" s="69"/>
      <c r="G302" s="69"/>
      <c r="H302" s="69"/>
      <c r="I302" s="69"/>
      <c r="J302" s="69"/>
      <c r="K302" s="69"/>
      <c r="L302" s="69"/>
      <c r="M302" s="69"/>
      <c r="N302" s="69"/>
      <c r="O302" s="69"/>
      <c r="P302" s="69"/>
      <c r="Q302" s="69"/>
      <c r="R302" s="69"/>
      <c r="S302" s="69"/>
      <c r="T302" s="69"/>
      <c r="U302" s="69"/>
      <c r="V302" s="69"/>
      <c r="W302" s="69"/>
      <c r="X302" s="69"/>
      <c r="Y302" s="69"/>
      <c r="Z302" s="69"/>
      <c r="AA302" s="69"/>
      <c r="AB302" s="69"/>
      <c r="AC302" s="69"/>
      <c r="AD302" s="69"/>
      <c r="AE302" s="69"/>
      <c r="AF302" s="69"/>
    </row>
    <row r="303" customFormat="false" ht="15" hidden="false" customHeight="false" outlineLevel="0" collapsed="false">
      <c r="B303" s="69"/>
      <c r="C303" s="69"/>
      <c r="D303" s="69"/>
      <c r="E303" s="69"/>
      <c r="F303" s="69"/>
      <c r="G303" s="69"/>
      <c r="H303" s="69"/>
      <c r="I303" s="69"/>
      <c r="J303" s="69"/>
      <c r="K303" s="69"/>
      <c r="L303" s="69"/>
      <c r="M303" s="69"/>
      <c r="N303" s="69"/>
      <c r="O303" s="69"/>
      <c r="P303" s="69"/>
      <c r="Q303" s="69"/>
      <c r="R303" s="69"/>
      <c r="S303" s="69"/>
      <c r="T303" s="69"/>
      <c r="U303" s="69"/>
      <c r="V303" s="69"/>
      <c r="W303" s="69"/>
      <c r="X303" s="69"/>
      <c r="Y303" s="69"/>
      <c r="Z303" s="69"/>
      <c r="AA303" s="69"/>
      <c r="AB303" s="69"/>
      <c r="AC303" s="69"/>
      <c r="AD303" s="69"/>
      <c r="AE303" s="69"/>
      <c r="AF303" s="69"/>
    </row>
    <row r="304" customFormat="false" ht="15" hidden="false" customHeight="false" outlineLevel="0" collapsed="false">
      <c r="B304" s="69"/>
      <c r="C304" s="69"/>
      <c r="D304" s="69"/>
      <c r="E304" s="69"/>
      <c r="F304" s="69"/>
      <c r="G304" s="69"/>
      <c r="H304" s="69"/>
      <c r="I304" s="69"/>
      <c r="J304" s="69"/>
      <c r="K304" s="69"/>
      <c r="L304" s="69"/>
      <c r="M304" s="69"/>
      <c r="N304" s="69"/>
      <c r="O304" s="69"/>
      <c r="P304" s="69"/>
      <c r="Q304" s="69"/>
      <c r="R304" s="69"/>
      <c r="S304" s="69"/>
      <c r="T304" s="69"/>
      <c r="U304" s="69"/>
      <c r="V304" s="69"/>
      <c r="W304" s="69"/>
      <c r="X304" s="69"/>
      <c r="Y304" s="69"/>
      <c r="Z304" s="69"/>
      <c r="AA304" s="69"/>
      <c r="AB304" s="69"/>
      <c r="AC304" s="69"/>
      <c r="AD304" s="69"/>
      <c r="AE304" s="69"/>
      <c r="AF304" s="69"/>
    </row>
    <row r="305" customFormat="false" ht="15" hidden="false" customHeight="false" outlineLevel="0" collapsed="false">
      <c r="B305" s="69"/>
      <c r="C305" s="69"/>
      <c r="D305" s="69"/>
      <c r="E305" s="69"/>
      <c r="F305" s="69"/>
      <c r="G305" s="69"/>
      <c r="H305" s="69"/>
      <c r="I305" s="69"/>
      <c r="J305" s="69"/>
      <c r="K305" s="69"/>
      <c r="L305" s="69"/>
      <c r="M305" s="69"/>
      <c r="N305" s="69"/>
      <c r="O305" s="69"/>
      <c r="P305" s="69"/>
      <c r="Q305" s="69"/>
      <c r="R305" s="69"/>
      <c r="S305" s="69"/>
      <c r="T305" s="69"/>
      <c r="U305" s="69"/>
      <c r="V305" s="69"/>
      <c r="W305" s="69"/>
      <c r="X305" s="69"/>
      <c r="Y305" s="69"/>
      <c r="Z305" s="69"/>
      <c r="AA305" s="69"/>
      <c r="AB305" s="69"/>
      <c r="AC305" s="69"/>
      <c r="AD305" s="69"/>
      <c r="AE305" s="69"/>
      <c r="AF305" s="69"/>
    </row>
    <row r="306" customFormat="false" ht="15" hidden="false" customHeight="false" outlineLevel="0" collapsed="false">
      <c r="B306" s="69"/>
      <c r="C306" s="69"/>
      <c r="D306" s="69"/>
      <c r="E306" s="69"/>
      <c r="F306" s="69"/>
      <c r="G306" s="69"/>
      <c r="H306" s="69"/>
      <c r="I306" s="69"/>
      <c r="J306" s="69"/>
      <c r="K306" s="69"/>
      <c r="L306" s="69"/>
      <c r="M306" s="69"/>
      <c r="N306" s="69"/>
      <c r="O306" s="69"/>
      <c r="P306" s="69"/>
      <c r="Q306" s="69"/>
      <c r="R306" s="69"/>
      <c r="S306" s="69"/>
      <c r="T306" s="69"/>
      <c r="U306" s="69"/>
      <c r="V306" s="69"/>
      <c r="W306" s="69"/>
      <c r="X306" s="69"/>
      <c r="Y306" s="69"/>
      <c r="Z306" s="69"/>
      <c r="AA306" s="69"/>
      <c r="AB306" s="69"/>
      <c r="AC306" s="69"/>
      <c r="AD306" s="69"/>
      <c r="AE306" s="69"/>
      <c r="AF306" s="69"/>
    </row>
    <row r="307" customFormat="false" ht="15" hidden="false" customHeight="false" outlineLevel="0" collapsed="false">
      <c r="B307" s="69"/>
      <c r="C307" s="69"/>
      <c r="D307" s="69"/>
      <c r="E307" s="69"/>
      <c r="F307" s="69"/>
      <c r="G307" s="69"/>
      <c r="H307" s="69"/>
      <c r="I307" s="69"/>
      <c r="J307" s="69"/>
      <c r="K307" s="69"/>
      <c r="L307" s="69"/>
      <c r="M307" s="69"/>
      <c r="N307" s="69"/>
      <c r="O307" s="69"/>
      <c r="P307" s="69"/>
      <c r="Q307" s="69"/>
      <c r="R307" s="69"/>
      <c r="S307" s="69"/>
      <c r="T307" s="69"/>
      <c r="U307" s="69"/>
      <c r="V307" s="69"/>
      <c r="W307" s="69"/>
      <c r="X307" s="69"/>
      <c r="Y307" s="69"/>
      <c r="Z307" s="69"/>
      <c r="AA307" s="69"/>
      <c r="AB307" s="69"/>
      <c r="AC307" s="69"/>
      <c r="AD307" s="69"/>
      <c r="AE307" s="69"/>
      <c r="AF307" s="69"/>
    </row>
    <row r="308" customFormat="false" ht="15" hidden="false" customHeight="false" outlineLevel="0" collapsed="false">
      <c r="B308" s="69"/>
      <c r="C308" s="69"/>
      <c r="D308" s="69"/>
      <c r="E308" s="69"/>
      <c r="F308" s="69"/>
      <c r="G308" s="69"/>
      <c r="H308" s="69"/>
      <c r="I308" s="69"/>
      <c r="J308" s="69"/>
      <c r="K308" s="69"/>
      <c r="L308" s="69"/>
      <c r="M308" s="69"/>
      <c r="N308" s="69"/>
      <c r="O308" s="69"/>
      <c r="P308" s="69"/>
      <c r="Q308" s="69"/>
      <c r="R308" s="69"/>
      <c r="S308" s="69"/>
      <c r="T308" s="69"/>
      <c r="U308" s="69"/>
      <c r="V308" s="69"/>
      <c r="W308" s="69"/>
      <c r="X308" s="69"/>
      <c r="Y308" s="69"/>
      <c r="Z308" s="69"/>
      <c r="AA308" s="69"/>
      <c r="AB308" s="69"/>
      <c r="AC308" s="69"/>
      <c r="AD308" s="69"/>
      <c r="AE308" s="69"/>
      <c r="AF308" s="69"/>
    </row>
    <row r="309" customFormat="false" ht="15" hidden="false" customHeight="false" outlineLevel="0" collapsed="false">
      <c r="B309" s="69"/>
      <c r="C309" s="69"/>
      <c r="D309" s="69"/>
      <c r="E309" s="69"/>
      <c r="F309" s="69"/>
      <c r="G309" s="69"/>
      <c r="H309" s="69"/>
      <c r="I309" s="69"/>
      <c r="J309" s="69"/>
      <c r="K309" s="69"/>
      <c r="L309" s="69"/>
      <c r="M309" s="69"/>
      <c r="N309" s="69"/>
      <c r="O309" s="69"/>
      <c r="P309" s="69"/>
      <c r="Q309" s="69"/>
      <c r="R309" s="69"/>
      <c r="S309" s="69"/>
      <c r="T309" s="69"/>
      <c r="U309" s="69"/>
      <c r="V309" s="69"/>
      <c r="W309" s="69"/>
      <c r="X309" s="69"/>
      <c r="Y309" s="69"/>
      <c r="Z309" s="69"/>
      <c r="AA309" s="69"/>
      <c r="AB309" s="69"/>
      <c r="AC309" s="69"/>
      <c r="AD309" s="69"/>
      <c r="AE309" s="69"/>
      <c r="AF309" s="69"/>
    </row>
    <row r="310" customFormat="false" ht="15" hidden="false" customHeight="false" outlineLevel="0" collapsed="false">
      <c r="B310" s="69"/>
      <c r="C310" s="69"/>
      <c r="D310" s="69"/>
      <c r="E310" s="69"/>
      <c r="F310" s="69"/>
      <c r="G310" s="69"/>
      <c r="H310" s="69"/>
      <c r="I310" s="69"/>
      <c r="J310" s="69"/>
      <c r="K310" s="69"/>
      <c r="L310" s="69"/>
      <c r="M310" s="69"/>
      <c r="N310" s="69"/>
      <c r="O310" s="69"/>
      <c r="P310" s="69"/>
      <c r="Q310" s="69"/>
      <c r="R310" s="69"/>
      <c r="S310" s="69"/>
      <c r="T310" s="69"/>
      <c r="U310" s="69"/>
      <c r="V310" s="69"/>
      <c r="W310" s="69"/>
      <c r="X310" s="69"/>
      <c r="Y310" s="69"/>
      <c r="Z310" s="69"/>
      <c r="AA310" s="69"/>
      <c r="AB310" s="69"/>
      <c r="AC310" s="69"/>
      <c r="AD310" s="69"/>
      <c r="AE310" s="69"/>
      <c r="AF310" s="69"/>
    </row>
    <row r="311" customFormat="false" ht="15" hidden="false" customHeight="false" outlineLevel="0" collapsed="false">
      <c r="B311" s="69"/>
      <c r="C311" s="69"/>
      <c r="D311" s="69"/>
      <c r="E311" s="69"/>
      <c r="F311" s="69"/>
      <c r="G311" s="69"/>
      <c r="H311" s="69"/>
      <c r="I311" s="69"/>
      <c r="J311" s="69"/>
      <c r="K311" s="69"/>
      <c r="L311" s="69"/>
      <c r="M311" s="69"/>
      <c r="N311" s="69"/>
      <c r="O311" s="69"/>
      <c r="P311" s="69"/>
      <c r="Q311" s="69"/>
      <c r="R311" s="69"/>
      <c r="S311" s="69"/>
      <c r="T311" s="69"/>
      <c r="U311" s="69"/>
      <c r="V311" s="69"/>
      <c r="W311" s="69"/>
      <c r="X311" s="69"/>
      <c r="Y311" s="69"/>
      <c r="Z311" s="69"/>
      <c r="AA311" s="69"/>
      <c r="AB311" s="69"/>
      <c r="AC311" s="69"/>
      <c r="AD311" s="69"/>
      <c r="AE311" s="69"/>
      <c r="AF311" s="69"/>
    </row>
    <row r="312" customFormat="false" ht="15" hidden="false" customHeight="false" outlineLevel="0" collapsed="false">
      <c r="B312" s="69"/>
      <c r="C312" s="69"/>
      <c r="D312" s="69"/>
      <c r="E312" s="69"/>
      <c r="F312" s="69"/>
      <c r="G312" s="69"/>
      <c r="H312" s="69"/>
      <c r="I312" s="69"/>
      <c r="J312" s="69"/>
      <c r="K312" s="69"/>
      <c r="L312" s="69"/>
      <c r="M312" s="69"/>
      <c r="N312" s="69"/>
      <c r="O312" s="69"/>
      <c r="P312" s="69"/>
      <c r="Q312" s="69"/>
      <c r="R312" s="69"/>
      <c r="S312" s="69"/>
      <c r="T312" s="69"/>
      <c r="U312" s="69"/>
      <c r="V312" s="69"/>
      <c r="W312" s="69"/>
      <c r="X312" s="69"/>
      <c r="Y312" s="69"/>
      <c r="Z312" s="69"/>
      <c r="AA312" s="69"/>
      <c r="AB312" s="69"/>
      <c r="AC312" s="69"/>
      <c r="AD312" s="69"/>
      <c r="AE312" s="69"/>
      <c r="AF312" s="69"/>
    </row>
    <row r="313" customFormat="false" ht="15" hidden="false" customHeight="false" outlineLevel="0" collapsed="false">
      <c r="B313" s="69"/>
      <c r="C313" s="69"/>
      <c r="D313" s="69"/>
      <c r="E313" s="69"/>
      <c r="F313" s="69"/>
      <c r="G313" s="69"/>
      <c r="H313" s="69"/>
      <c r="I313" s="69"/>
      <c r="J313" s="69"/>
      <c r="K313" s="69"/>
      <c r="L313" s="69"/>
      <c r="M313" s="69"/>
      <c r="N313" s="69"/>
      <c r="O313" s="69"/>
      <c r="P313" s="69"/>
      <c r="Q313" s="69"/>
      <c r="R313" s="69"/>
      <c r="S313" s="69"/>
      <c r="T313" s="69"/>
      <c r="U313" s="69"/>
      <c r="V313" s="69"/>
      <c r="W313" s="69"/>
      <c r="X313" s="69"/>
      <c r="Y313" s="69"/>
      <c r="Z313" s="69"/>
      <c r="AA313" s="69"/>
      <c r="AB313" s="69"/>
      <c r="AC313" s="69"/>
      <c r="AD313" s="69"/>
      <c r="AE313" s="69"/>
      <c r="AF313" s="69"/>
    </row>
    <row r="314" customFormat="false" ht="15" hidden="false" customHeight="false" outlineLevel="0" collapsed="false">
      <c r="B314" s="69"/>
      <c r="C314" s="69"/>
      <c r="D314" s="69"/>
      <c r="E314" s="69"/>
      <c r="F314" s="69"/>
      <c r="G314" s="69"/>
      <c r="H314" s="69"/>
      <c r="I314" s="69"/>
      <c r="J314" s="69"/>
      <c r="K314" s="69"/>
      <c r="L314" s="69"/>
      <c r="M314" s="69"/>
      <c r="N314" s="69"/>
      <c r="O314" s="69"/>
      <c r="P314" s="69"/>
      <c r="Q314" s="69"/>
      <c r="R314" s="69"/>
      <c r="S314" s="69"/>
      <c r="T314" s="69"/>
      <c r="U314" s="69"/>
      <c r="V314" s="69"/>
      <c r="W314" s="69"/>
      <c r="X314" s="69"/>
      <c r="Y314" s="69"/>
      <c r="Z314" s="69"/>
      <c r="AA314" s="69"/>
      <c r="AB314" s="69"/>
      <c r="AC314" s="69"/>
      <c r="AD314" s="69"/>
      <c r="AE314" s="69"/>
      <c r="AF314" s="69"/>
    </row>
    <row r="315" customFormat="false" ht="15" hidden="false" customHeight="false" outlineLevel="0" collapsed="false">
      <c r="B315" s="69"/>
      <c r="C315" s="69"/>
      <c r="D315" s="69"/>
      <c r="E315" s="69"/>
      <c r="F315" s="69"/>
      <c r="G315" s="69"/>
      <c r="H315" s="69"/>
      <c r="I315" s="69"/>
      <c r="J315" s="69"/>
      <c r="K315" s="69"/>
      <c r="L315" s="69"/>
      <c r="M315" s="69"/>
      <c r="N315" s="69"/>
      <c r="O315" s="69"/>
      <c r="P315" s="69"/>
      <c r="Q315" s="69"/>
      <c r="R315" s="69"/>
      <c r="S315" s="69"/>
      <c r="T315" s="69"/>
      <c r="U315" s="69"/>
      <c r="V315" s="69"/>
      <c r="W315" s="69"/>
      <c r="X315" s="69"/>
      <c r="Y315" s="69"/>
      <c r="Z315" s="69"/>
      <c r="AA315" s="69"/>
      <c r="AB315" s="69"/>
      <c r="AC315" s="69"/>
      <c r="AD315" s="69"/>
      <c r="AE315" s="69"/>
      <c r="AF315" s="69"/>
    </row>
    <row r="316" customFormat="false" ht="15" hidden="false" customHeight="false" outlineLevel="0" collapsed="false">
      <c r="B316" s="69"/>
      <c r="C316" s="69"/>
      <c r="D316" s="69"/>
      <c r="E316" s="69"/>
      <c r="F316" s="69"/>
      <c r="G316" s="69"/>
      <c r="H316" s="69"/>
      <c r="I316" s="69"/>
      <c r="J316" s="69"/>
      <c r="K316" s="69"/>
      <c r="L316" s="69"/>
      <c r="M316" s="69"/>
      <c r="N316" s="69"/>
      <c r="O316" s="69"/>
      <c r="P316" s="69"/>
      <c r="Q316" s="69"/>
      <c r="R316" s="69"/>
      <c r="S316" s="69"/>
      <c r="T316" s="69"/>
      <c r="U316" s="69"/>
      <c r="V316" s="69"/>
      <c r="W316" s="69"/>
      <c r="X316" s="69"/>
      <c r="Y316" s="69"/>
      <c r="Z316" s="69"/>
      <c r="AA316" s="69"/>
      <c r="AB316" s="69"/>
      <c r="AC316" s="69"/>
      <c r="AD316" s="69"/>
      <c r="AE316" s="69"/>
      <c r="AF316" s="69"/>
    </row>
    <row r="317" customFormat="false" ht="15" hidden="false" customHeight="false" outlineLevel="0" collapsed="false">
      <c r="B317" s="69"/>
      <c r="C317" s="69"/>
      <c r="D317" s="69"/>
      <c r="E317" s="69"/>
      <c r="F317" s="69"/>
      <c r="G317" s="69"/>
      <c r="H317" s="69"/>
      <c r="I317" s="69"/>
      <c r="J317" s="69"/>
      <c r="K317" s="69"/>
      <c r="L317" s="69"/>
      <c r="M317" s="69"/>
      <c r="N317" s="69"/>
      <c r="O317" s="69"/>
      <c r="P317" s="69"/>
      <c r="Q317" s="69"/>
      <c r="R317" s="69"/>
      <c r="S317" s="69"/>
      <c r="T317" s="69"/>
      <c r="U317" s="69"/>
      <c r="V317" s="69"/>
      <c r="W317" s="69"/>
      <c r="X317" s="69"/>
      <c r="Y317" s="69"/>
      <c r="Z317" s="69"/>
      <c r="AA317" s="69"/>
      <c r="AB317" s="69"/>
      <c r="AC317" s="69"/>
      <c r="AD317" s="69"/>
      <c r="AE317" s="69"/>
      <c r="AF317" s="69"/>
    </row>
    <row r="318" customFormat="false" ht="15" hidden="false" customHeight="false" outlineLevel="0" collapsed="false">
      <c r="B318" s="69"/>
      <c r="C318" s="69"/>
      <c r="D318" s="69"/>
      <c r="E318" s="69"/>
      <c r="F318" s="69"/>
      <c r="G318" s="69"/>
      <c r="H318" s="69"/>
      <c r="I318" s="69"/>
      <c r="J318" s="69"/>
      <c r="K318" s="69"/>
      <c r="L318" s="69"/>
      <c r="M318" s="69"/>
      <c r="N318" s="69"/>
      <c r="O318" s="69"/>
      <c r="P318" s="69"/>
      <c r="Q318" s="69"/>
      <c r="R318" s="69"/>
      <c r="S318" s="69"/>
      <c r="T318" s="69"/>
      <c r="U318" s="69"/>
      <c r="V318" s="69"/>
      <c r="W318" s="69"/>
      <c r="X318" s="69"/>
      <c r="Y318" s="69"/>
      <c r="Z318" s="69"/>
      <c r="AA318" s="69"/>
      <c r="AB318" s="69"/>
      <c r="AC318" s="69"/>
      <c r="AD318" s="69"/>
      <c r="AE318" s="69"/>
      <c r="AF318" s="69"/>
    </row>
    <row r="319" customFormat="false" ht="15" hidden="false" customHeight="false" outlineLevel="0" collapsed="false">
      <c r="B319" s="69"/>
      <c r="C319" s="69"/>
      <c r="D319" s="69"/>
      <c r="E319" s="69"/>
      <c r="F319" s="69"/>
      <c r="G319" s="69"/>
      <c r="H319" s="69"/>
      <c r="I319" s="69"/>
      <c r="J319" s="69"/>
      <c r="K319" s="69"/>
      <c r="L319" s="69"/>
      <c r="M319" s="69"/>
      <c r="N319" s="69"/>
      <c r="O319" s="69"/>
      <c r="P319" s="69"/>
      <c r="Q319" s="69"/>
      <c r="R319" s="69"/>
      <c r="S319" s="69"/>
      <c r="T319" s="69"/>
      <c r="U319" s="69"/>
      <c r="V319" s="69"/>
      <c r="W319" s="69"/>
      <c r="X319" s="69"/>
      <c r="Y319" s="69"/>
      <c r="Z319" s="69"/>
      <c r="AA319" s="69"/>
      <c r="AB319" s="69"/>
      <c r="AC319" s="69"/>
      <c r="AD319" s="69"/>
      <c r="AE319" s="69"/>
      <c r="AF319" s="6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86"/>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2" ySplit="0" topLeftCell="J1" activePane="topRight" state="frozen"/>
      <selection pane="topLeft" activeCell="A1" activeCellId="0" sqref="A1"/>
      <selection pane="topRight" activeCell="AC52" activeCellId="0" sqref="AC52"/>
    </sheetView>
  </sheetViews>
  <sheetFormatPr defaultColWidth="8.6796875" defaultRowHeight="15" customHeight="true" zeroHeight="false" outlineLevelRow="0" outlineLevelCol="0"/>
  <cols>
    <col collapsed="false" customWidth="true" hidden="false" outlineLevel="0" max="1" min="1" style="1" width="3"/>
    <col collapsed="false" customWidth="true" hidden="true" outlineLevel="0" max="2" min="2" style="1" width="6.14"/>
    <col collapsed="false" customWidth="true" hidden="false" outlineLevel="0" max="3" min="3" style="1" width="10.85"/>
    <col collapsed="false" customWidth="true" hidden="false" outlineLevel="0" max="4" min="4" style="1" width="12.42"/>
    <col collapsed="false" customWidth="true" hidden="false" outlineLevel="0" max="17" min="6" style="1" width="16.29"/>
    <col collapsed="false" customWidth="true" hidden="false" outlineLevel="0" max="18" min="18" style="1" width="9.14"/>
    <col collapsed="false" customWidth="true" hidden="false" outlineLevel="0" max="19" min="19" style="1" width="11.85"/>
    <col collapsed="false" customWidth="true" hidden="false" outlineLevel="0" max="22" min="20" style="1" width="9.14"/>
    <col collapsed="false" customWidth="true" hidden="false" outlineLevel="0" max="25" min="25" style="1" width="10.57"/>
    <col collapsed="false" customWidth="true" hidden="false" outlineLevel="0" max="28" min="28" style="1" width="37.86"/>
    <col collapsed="false" customWidth="true" hidden="false" outlineLevel="0" max="31" min="31" style="1" width="7.42"/>
    <col collapsed="false" customWidth="true" hidden="false" outlineLevel="0" max="32" min="32" style="1" width="11.85"/>
  </cols>
  <sheetData>
    <row r="1" customFormat="false" ht="35.05" hidden="false" customHeight="false" outlineLevel="0" collapsed="false">
      <c r="A1" s="93"/>
      <c r="B1" s="93"/>
      <c r="C1" s="93"/>
      <c r="D1" s="94" t="s">
        <v>149</v>
      </c>
      <c r="E1" s="95" t="s">
        <v>150</v>
      </c>
      <c r="F1" s="95" t="s">
        <v>11</v>
      </c>
      <c r="G1" s="95" t="s">
        <v>12</v>
      </c>
      <c r="H1" s="95" t="s">
        <v>13</v>
      </c>
      <c r="I1" s="95" t="s">
        <v>14</v>
      </c>
      <c r="J1" s="95" t="s">
        <v>15</v>
      </c>
      <c r="K1" s="95" t="s">
        <v>16</v>
      </c>
      <c r="L1" s="95" t="s">
        <v>17</v>
      </c>
      <c r="M1" s="95" t="s">
        <v>18</v>
      </c>
      <c r="N1" s="95" t="s">
        <v>19</v>
      </c>
      <c r="O1" s="95" t="s">
        <v>20</v>
      </c>
      <c r="P1" s="95" t="s">
        <v>21</v>
      </c>
      <c r="Q1" s="95" t="s">
        <v>22</v>
      </c>
      <c r="R1" s="95" t="s">
        <v>151</v>
      </c>
      <c r="S1" s="95" t="s">
        <v>152</v>
      </c>
      <c r="T1" s="95" t="s">
        <v>153</v>
      </c>
      <c r="U1" s="95" t="s">
        <v>154</v>
      </c>
      <c r="V1" s="95" t="s">
        <v>155</v>
      </c>
      <c r="W1" s="95" t="s">
        <v>156</v>
      </c>
      <c r="X1" s="95" t="s">
        <v>157</v>
      </c>
      <c r="Y1" s="96" t="s">
        <v>158</v>
      </c>
      <c r="Z1" s="93"/>
      <c r="AA1" s="93"/>
      <c r="AB1" s="93"/>
      <c r="AC1" s="93"/>
      <c r="AD1" s="93"/>
      <c r="AE1" s="93"/>
      <c r="AF1" s="93"/>
      <c r="AG1" s="93"/>
      <c r="AH1" s="93"/>
    </row>
    <row r="2" customFormat="false" ht="15" hidden="false" customHeight="true" outlineLevel="0" collapsed="false">
      <c r="A2" s="97" t="s">
        <v>159</v>
      </c>
      <c r="B2" s="98" t="n">
        <v>1</v>
      </c>
      <c r="C2" s="99" t="s">
        <v>160</v>
      </c>
      <c r="D2" s="100"/>
      <c r="E2" s="101" t="n">
        <v>4</v>
      </c>
      <c r="F2" s="101" t="n">
        <v>3</v>
      </c>
      <c r="G2" s="101"/>
      <c r="H2" s="101"/>
      <c r="I2" s="101"/>
      <c r="J2" s="101"/>
      <c r="K2" s="101"/>
      <c r="L2" s="101"/>
      <c r="M2" s="101"/>
      <c r="N2" s="101"/>
      <c r="O2" s="101"/>
      <c r="P2" s="101"/>
      <c r="Q2" s="102"/>
      <c r="R2" s="101" t="n">
        <v>2</v>
      </c>
      <c r="S2" s="101"/>
      <c r="T2" s="101"/>
      <c r="U2" s="100" t="n">
        <v>3</v>
      </c>
      <c r="V2" s="101" t="n">
        <v>2</v>
      </c>
      <c r="W2" s="101" t="n">
        <v>2.5</v>
      </c>
      <c r="X2" s="101" t="n">
        <v>0</v>
      </c>
      <c r="Y2" s="102" t="n">
        <f aca="false">SUM(U2:X2)</f>
        <v>7.5</v>
      </c>
      <c r="Z2" s="103"/>
      <c r="AA2" s="103"/>
      <c r="AB2" s="103"/>
      <c r="AC2" s="103"/>
      <c r="AD2" s="103"/>
      <c r="AE2" s="103"/>
      <c r="AF2" s="103"/>
      <c r="AG2" s="103"/>
      <c r="AH2" s="103"/>
    </row>
    <row r="3" customFormat="false" ht="15" hidden="false" customHeight="false" outlineLevel="0" collapsed="false">
      <c r="A3" s="97"/>
      <c r="B3" s="98"/>
      <c r="C3" s="104" t="s">
        <v>161</v>
      </c>
      <c r="D3" s="105"/>
      <c r="E3" s="103"/>
      <c r="F3" s="103" t="n">
        <v>3</v>
      </c>
      <c r="G3" s="103"/>
      <c r="H3" s="103"/>
      <c r="I3" s="103"/>
      <c r="J3" s="103"/>
      <c r="K3" s="103"/>
      <c r="L3" s="103"/>
      <c r="M3" s="103"/>
      <c r="N3" s="103"/>
      <c r="O3" s="103"/>
      <c r="P3" s="103"/>
      <c r="Q3" s="106"/>
      <c r="R3" s="103"/>
      <c r="S3" s="103"/>
      <c r="T3" s="103"/>
      <c r="U3" s="105" t="n">
        <f aca="false">SUM(C3:Q3)</f>
        <v>3</v>
      </c>
      <c r="V3" s="103" t="n">
        <v>2</v>
      </c>
      <c r="W3" s="103" t="n">
        <v>2.5</v>
      </c>
      <c r="X3" s="103" t="n">
        <v>0</v>
      </c>
      <c r="Y3" s="106" t="n">
        <f aca="false">SUM(U3:X3)</f>
        <v>7.5</v>
      </c>
      <c r="Z3" s="103"/>
      <c r="AA3" s="103"/>
      <c r="AB3" s="103"/>
      <c r="AC3" s="103"/>
      <c r="AD3" s="103"/>
      <c r="AE3" s="103"/>
      <c r="AF3" s="103"/>
      <c r="AG3" s="103"/>
      <c r="AH3" s="103"/>
    </row>
    <row r="4" customFormat="false" ht="15" hidden="false" customHeight="false" outlineLevel="0" collapsed="false">
      <c r="A4" s="97"/>
      <c r="B4" s="98"/>
      <c r="C4" s="104" t="s">
        <v>162</v>
      </c>
      <c r="D4" s="105"/>
      <c r="E4" s="103"/>
      <c r="F4" s="103" t="n">
        <v>3</v>
      </c>
      <c r="G4" s="103"/>
      <c r="H4" s="103"/>
      <c r="I4" s="103"/>
      <c r="J4" s="103"/>
      <c r="K4" s="103"/>
      <c r="L4" s="103"/>
      <c r="M4" s="103"/>
      <c r="N4" s="103"/>
      <c r="O4" s="103"/>
      <c r="P4" s="103"/>
      <c r="Q4" s="106"/>
      <c r="R4" s="103"/>
      <c r="S4" s="103"/>
      <c r="T4" s="103"/>
      <c r="U4" s="105" t="n">
        <f aca="false">SUM(C4:Q4)</f>
        <v>3</v>
      </c>
      <c r="V4" s="103" t="n">
        <v>2</v>
      </c>
      <c r="W4" s="103" t="n">
        <v>2.5</v>
      </c>
      <c r="X4" s="103" t="n">
        <v>0</v>
      </c>
      <c r="Y4" s="106" t="n">
        <f aca="false">SUM(U4:X4)</f>
        <v>7.5</v>
      </c>
      <c r="Z4" s="103"/>
      <c r="AA4" s="103"/>
      <c r="AB4" s="103"/>
      <c r="AC4" s="103"/>
      <c r="AD4" s="103"/>
      <c r="AE4" s="103"/>
      <c r="AF4" s="103"/>
      <c r="AG4" s="103"/>
      <c r="AH4" s="103"/>
    </row>
    <row r="5" customFormat="false" ht="15" hidden="false" customHeight="true" outlineLevel="0" collapsed="false">
      <c r="A5" s="97"/>
      <c r="B5" s="98"/>
      <c r="C5" s="104" t="s">
        <v>163</v>
      </c>
      <c r="D5" s="105"/>
      <c r="E5" s="103"/>
      <c r="F5" s="103" t="n">
        <v>3</v>
      </c>
      <c r="G5" s="103"/>
      <c r="H5" s="103"/>
      <c r="I5" s="103"/>
      <c r="J5" s="103"/>
      <c r="K5" s="103"/>
      <c r="L5" s="103"/>
      <c r="M5" s="103"/>
      <c r="N5" s="103"/>
      <c r="O5" s="103"/>
      <c r="P5" s="103"/>
      <c r="Q5" s="106"/>
      <c r="R5" s="103"/>
      <c r="S5" s="103"/>
      <c r="T5" s="103"/>
      <c r="U5" s="105" t="n">
        <f aca="false">SUM(C5:Q5)</f>
        <v>3</v>
      </c>
      <c r="V5" s="103" t="n">
        <v>2</v>
      </c>
      <c r="W5" s="103" t="n">
        <v>2.5</v>
      </c>
      <c r="X5" s="103" t="n">
        <v>2</v>
      </c>
      <c r="Y5" s="106" t="n">
        <f aca="false">SUM(U5:X5)</f>
        <v>9.5</v>
      </c>
      <c r="Z5" s="103"/>
      <c r="AA5" s="103"/>
      <c r="AB5" s="103"/>
      <c r="AC5" s="103"/>
      <c r="AD5" s="103"/>
      <c r="AE5" s="103"/>
      <c r="AF5" s="103"/>
      <c r="AG5" s="103"/>
      <c r="AH5" s="103"/>
    </row>
    <row r="6" customFormat="false" ht="15" hidden="false" customHeight="false" outlineLevel="0" collapsed="false">
      <c r="A6" s="97"/>
      <c r="B6" s="107" t="n">
        <v>2</v>
      </c>
      <c r="C6" s="104" t="s">
        <v>164</v>
      </c>
      <c r="D6" s="105"/>
      <c r="E6" s="103"/>
      <c r="F6" s="103"/>
      <c r="G6" s="103" t="n">
        <v>3</v>
      </c>
      <c r="H6" s="103"/>
      <c r="I6" s="103"/>
      <c r="J6" s="103"/>
      <c r="K6" s="103"/>
      <c r="L6" s="103"/>
      <c r="M6" s="103"/>
      <c r="N6" s="103"/>
      <c r="O6" s="103"/>
      <c r="P6" s="103"/>
      <c r="Q6" s="106"/>
      <c r="R6" s="103" t="n">
        <v>2</v>
      </c>
      <c r="S6" s="103"/>
      <c r="T6" s="103"/>
      <c r="U6" s="105" t="n">
        <f aca="false">SUM(C6:Q6)</f>
        <v>3</v>
      </c>
      <c r="V6" s="103" t="n">
        <v>2</v>
      </c>
      <c r="W6" s="103" t="n">
        <v>2.5</v>
      </c>
      <c r="X6" s="103" t="n">
        <v>0</v>
      </c>
      <c r="Y6" s="106" t="n">
        <f aca="false">SUM(U6:X6)</f>
        <v>7.5</v>
      </c>
      <c r="Z6" s="103"/>
      <c r="AA6" s="103"/>
      <c r="AB6" s="103"/>
      <c r="AC6" s="103"/>
      <c r="AD6" s="103"/>
      <c r="AE6" s="103"/>
      <c r="AF6" s="103"/>
      <c r="AG6" s="103"/>
      <c r="AH6" s="103"/>
    </row>
    <row r="7" customFormat="false" ht="15" hidden="false" customHeight="false" outlineLevel="0" collapsed="false">
      <c r="A7" s="97"/>
      <c r="B7" s="107"/>
      <c r="C7" s="104" t="s">
        <v>165</v>
      </c>
      <c r="D7" s="105"/>
      <c r="E7" s="103"/>
      <c r="F7" s="103"/>
      <c r="G7" s="103" t="n">
        <v>3</v>
      </c>
      <c r="H7" s="103"/>
      <c r="I7" s="103"/>
      <c r="J7" s="103"/>
      <c r="K7" s="103"/>
      <c r="L7" s="103"/>
      <c r="M7" s="103"/>
      <c r="N7" s="103"/>
      <c r="O7" s="103"/>
      <c r="P7" s="103"/>
      <c r="Q7" s="106"/>
      <c r="R7" s="103"/>
      <c r="S7" s="103"/>
      <c r="T7" s="103"/>
      <c r="U7" s="105" t="n">
        <f aca="false">SUM(C7:Q7)</f>
        <v>3</v>
      </c>
      <c r="V7" s="103" t="n">
        <v>2</v>
      </c>
      <c r="W7" s="103" t="n">
        <v>2.5</v>
      </c>
      <c r="X7" s="103" t="n">
        <v>0</v>
      </c>
      <c r="Y7" s="106" t="n">
        <f aca="false">SUM(U7:X7)</f>
        <v>7.5</v>
      </c>
      <c r="Z7" s="103"/>
      <c r="AA7" s="103"/>
      <c r="AB7" s="103"/>
      <c r="AC7" s="103"/>
      <c r="AD7" s="103"/>
      <c r="AE7" s="103"/>
      <c r="AF7" s="103"/>
      <c r="AG7" s="103"/>
      <c r="AH7" s="103"/>
    </row>
    <row r="8" customFormat="false" ht="15" hidden="false" customHeight="true" outlineLevel="0" collapsed="false">
      <c r="A8" s="97"/>
      <c r="B8" s="107"/>
      <c r="C8" s="104" t="s">
        <v>166</v>
      </c>
      <c r="D8" s="105"/>
      <c r="E8" s="103"/>
      <c r="G8" s="103" t="n">
        <v>3</v>
      </c>
      <c r="H8" s="103"/>
      <c r="I8" s="103"/>
      <c r="J8" s="103"/>
      <c r="K8" s="103"/>
      <c r="L8" s="103"/>
      <c r="M8" s="103"/>
      <c r="N8" s="103"/>
      <c r="O8" s="103"/>
      <c r="P8" s="103"/>
      <c r="Q8" s="106"/>
      <c r="R8" s="103"/>
      <c r="S8" s="103"/>
      <c r="T8" s="103"/>
      <c r="U8" s="105" t="n">
        <f aca="false">SUM(C8:Q8)</f>
        <v>3</v>
      </c>
      <c r="V8" s="103" t="n">
        <v>2</v>
      </c>
      <c r="W8" s="103" t="n">
        <v>2.5</v>
      </c>
      <c r="X8" s="103" t="n">
        <v>0</v>
      </c>
      <c r="Y8" s="106" t="n">
        <f aca="false">SUM(U8:X8)</f>
        <v>7.5</v>
      </c>
      <c r="Z8" s="103"/>
      <c r="AA8" s="103"/>
      <c r="AB8" s="103"/>
      <c r="AC8" s="103"/>
      <c r="AD8" s="103"/>
      <c r="AE8" s="103"/>
      <c r="AF8" s="103"/>
      <c r="AG8" s="103"/>
      <c r="AH8" s="103"/>
    </row>
    <row r="9" customFormat="false" ht="15" hidden="false" customHeight="false" outlineLevel="0" collapsed="false">
      <c r="A9" s="97"/>
      <c r="B9" s="107"/>
      <c r="C9" s="104" t="s">
        <v>167</v>
      </c>
      <c r="D9" s="105"/>
      <c r="E9" s="103"/>
      <c r="G9" s="103" t="n">
        <v>3</v>
      </c>
      <c r="H9" s="103"/>
      <c r="I9" s="103"/>
      <c r="J9" s="103"/>
      <c r="K9" s="103"/>
      <c r="L9" s="103"/>
      <c r="M9" s="103"/>
      <c r="N9" s="103"/>
      <c r="O9" s="103"/>
      <c r="P9" s="103"/>
      <c r="Q9" s="106"/>
      <c r="R9" s="103"/>
      <c r="S9" s="103"/>
      <c r="T9" s="103"/>
      <c r="U9" s="105" t="n">
        <f aca="false">SUM(C9:Q9)</f>
        <v>3</v>
      </c>
      <c r="V9" s="103" t="n">
        <v>2</v>
      </c>
      <c r="W9" s="103" t="n">
        <v>2.5</v>
      </c>
      <c r="X9" s="103" t="n">
        <v>0</v>
      </c>
      <c r="Y9" s="106" t="n">
        <f aca="false">SUM(U9:X9)</f>
        <v>7.5</v>
      </c>
      <c r="Z9" s="103"/>
      <c r="AA9" s="103"/>
      <c r="AB9" s="103" t="s">
        <v>168</v>
      </c>
      <c r="AC9" s="103" t="n">
        <f aca="false">E2</f>
        <v>4</v>
      </c>
      <c r="AD9" s="103"/>
      <c r="AE9" s="103"/>
      <c r="AF9" s="103"/>
      <c r="AG9" s="103"/>
      <c r="AH9" s="103"/>
    </row>
    <row r="10" customFormat="false" ht="15" hidden="false" customHeight="false" outlineLevel="0" collapsed="false">
      <c r="A10" s="97"/>
      <c r="B10" s="107" t="n">
        <v>3</v>
      </c>
      <c r="C10" s="104" t="s">
        <v>169</v>
      </c>
      <c r="D10" s="105"/>
      <c r="E10" s="103"/>
      <c r="G10" s="103" t="n">
        <v>3</v>
      </c>
      <c r="H10" s="103"/>
      <c r="I10" s="103"/>
      <c r="J10" s="103"/>
      <c r="K10" s="103"/>
      <c r="L10" s="103"/>
      <c r="M10" s="103"/>
      <c r="N10" s="103"/>
      <c r="O10" s="103"/>
      <c r="P10" s="103"/>
      <c r="Q10" s="106"/>
      <c r="R10" s="103" t="n">
        <v>2</v>
      </c>
      <c r="S10" s="103"/>
      <c r="T10" s="103"/>
      <c r="U10" s="105" t="n">
        <f aca="false">SUM(C10:Q10)</f>
        <v>3</v>
      </c>
      <c r="V10" s="103" t="n">
        <v>2</v>
      </c>
      <c r="W10" s="103" t="n">
        <v>2.5</v>
      </c>
      <c r="X10" s="103" t="n">
        <v>2</v>
      </c>
      <c r="Y10" s="106" t="n">
        <f aca="false">SUM(U10:X10)</f>
        <v>9.5</v>
      </c>
      <c r="Z10" s="103"/>
      <c r="AA10" s="103"/>
      <c r="AB10" s="108" t="s">
        <v>170</v>
      </c>
      <c r="AC10" s="103"/>
      <c r="AD10" s="103"/>
      <c r="AE10" s="103"/>
      <c r="AF10" s="103" t="s">
        <v>171</v>
      </c>
      <c r="AG10" s="103"/>
      <c r="AH10" s="103"/>
    </row>
    <row r="11" customFormat="false" ht="15" hidden="false" customHeight="false" outlineLevel="0" collapsed="false">
      <c r="A11" s="97"/>
      <c r="B11" s="107"/>
      <c r="C11" s="104" t="s">
        <v>172</v>
      </c>
      <c r="D11" s="105"/>
      <c r="E11" s="103"/>
      <c r="G11" s="103"/>
      <c r="H11" s="103" t="n">
        <v>3</v>
      </c>
      <c r="I11" s="103"/>
      <c r="J11" s="103"/>
      <c r="K11" s="103"/>
      <c r="L11" s="103"/>
      <c r="M11" s="103"/>
      <c r="N11" s="103"/>
      <c r="O11" s="103"/>
      <c r="P11" s="103"/>
      <c r="Q11" s="106"/>
      <c r="R11" s="103"/>
      <c r="S11" s="103"/>
      <c r="T11" s="103"/>
      <c r="U11" s="105" t="n">
        <f aca="false">SUM(C11:Q11)</f>
        <v>3</v>
      </c>
      <c r="V11" s="103" t="n">
        <v>2</v>
      </c>
      <c r="W11" s="103" t="n">
        <v>2.5</v>
      </c>
      <c r="X11" s="103" t="n">
        <v>0</v>
      </c>
      <c r="Y11" s="106" t="n">
        <f aca="false">SUM(U11:X11)</f>
        <v>7.5</v>
      </c>
      <c r="Z11" s="103"/>
      <c r="AA11" s="103"/>
      <c r="AB11" s="109" t="s">
        <v>173</v>
      </c>
      <c r="AC11" s="110" t="n">
        <f aca="false">Y79+AC9</f>
        <v>487</v>
      </c>
      <c r="AD11" s="103"/>
      <c r="AE11" s="103"/>
      <c r="AF11" s="103"/>
      <c r="AG11" s="103"/>
      <c r="AH11" s="103"/>
    </row>
    <row r="12" customFormat="false" ht="15" hidden="false" customHeight="false" outlineLevel="0" collapsed="false">
      <c r="A12" s="97"/>
      <c r="B12" s="107"/>
      <c r="C12" s="104" t="s">
        <v>174</v>
      </c>
      <c r="D12" s="105"/>
      <c r="E12" s="103"/>
      <c r="G12" s="103"/>
      <c r="H12" s="103" t="n">
        <v>3</v>
      </c>
      <c r="I12" s="103"/>
      <c r="J12" s="103"/>
      <c r="K12" s="103"/>
      <c r="L12" s="103"/>
      <c r="M12" s="103"/>
      <c r="N12" s="103"/>
      <c r="O12" s="103"/>
      <c r="P12" s="103"/>
      <c r="Q12" s="106"/>
      <c r="R12" s="103"/>
      <c r="S12" s="103"/>
      <c r="T12" s="103"/>
      <c r="U12" s="105" t="n">
        <f aca="false">SUM(C12:Q12)</f>
        <v>3</v>
      </c>
      <c r="V12" s="103" t="n">
        <v>2</v>
      </c>
      <c r="W12" s="103" t="n">
        <v>2.5</v>
      </c>
      <c r="X12" s="103" t="n">
        <v>0</v>
      </c>
      <c r="Y12" s="106" t="n">
        <f aca="false">SUM(U12:X12)</f>
        <v>7.5</v>
      </c>
      <c r="Z12" s="103"/>
      <c r="AA12" s="103"/>
      <c r="AB12" s="103"/>
      <c r="AC12" s="111" t="s">
        <v>175</v>
      </c>
      <c r="AD12" s="111" t="s">
        <v>176</v>
      </c>
      <c r="AE12" s="112" t="s">
        <v>177</v>
      </c>
      <c r="AF12" s="112" t="s">
        <v>178</v>
      </c>
      <c r="AG12" s="103"/>
      <c r="AH12" s="103"/>
    </row>
    <row r="13" customFormat="false" ht="15" hidden="false" customHeight="false" outlineLevel="0" collapsed="false">
      <c r="A13" s="97"/>
      <c r="B13" s="107"/>
      <c r="C13" s="104" t="s">
        <v>179</v>
      </c>
      <c r="D13" s="105"/>
      <c r="E13" s="103"/>
      <c r="F13" s="103"/>
      <c r="G13" s="103"/>
      <c r="H13" s="103" t="n">
        <v>3</v>
      </c>
      <c r="I13" s="103"/>
      <c r="J13" s="103"/>
      <c r="K13" s="103"/>
      <c r="L13" s="103"/>
      <c r="M13" s="103"/>
      <c r="N13" s="103"/>
      <c r="O13" s="103"/>
      <c r="P13" s="103"/>
      <c r="Q13" s="106"/>
      <c r="R13" s="103"/>
      <c r="S13" s="113" t="s">
        <v>180</v>
      </c>
      <c r="T13" s="103"/>
      <c r="U13" s="105" t="n">
        <f aca="false">SUM(C13:Q13)</f>
        <v>3</v>
      </c>
      <c r="V13" s="103" t="n">
        <v>2</v>
      </c>
      <c r="W13" s="103" t="n">
        <v>2.5</v>
      </c>
      <c r="X13" s="103" t="n">
        <v>0</v>
      </c>
      <c r="Y13" s="106" t="n">
        <f aca="false">SUM(U13:X13)</f>
        <v>7.5</v>
      </c>
      <c r="Z13" s="103"/>
      <c r="AA13" s="103"/>
      <c r="AB13" s="114" t="s">
        <v>11</v>
      </c>
      <c r="AC13" s="115" t="n">
        <f aca="false">F78</f>
        <v>12</v>
      </c>
      <c r="AD13" s="116" t="n">
        <f aca="false">AC13/$AC$11</f>
        <v>0.0246406570841889</v>
      </c>
      <c r="AE13" s="116" t="n">
        <f aca="false">AD13</f>
        <v>0.0246406570841889</v>
      </c>
      <c r="AF13" s="115" t="n">
        <v>2</v>
      </c>
      <c r="AG13" s="117"/>
      <c r="AH13" s="103"/>
    </row>
    <row r="14" customFormat="false" ht="15" hidden="false" customHeight="false" outlineLevel="0" collapsed="false">
      <c r="A14" s="97"/>
      <c r="B14" s="107" t="n">
        <v>4</v>
      </c>
      <c r="C14" s="104" t="s">
        <v>181</v>
      </c>
      <c r="D14" s="105"/>
      <c r="E14" s="103"/>
      <c r="G14" s="103"/>
      <c r="H14" s="103" t="n">
        <v>3</v>
      </c>
      <c r="I14" s="103"/>
      <c r="J14" s="103"/>
      <c r="K14" s="103"/>
      <c r="L14" s="103"/>
      <c r="M14" s="103"/>
      <c r="N14" s="103"/>
      <c r="O14" s="103"/>
      <c r="P14" s="103"/>
      <c r="Q14" s="106"/>
      <c r="R14" s="103" t="n">
        <v>2</v>
      </c>
      <c r="S14" s="103"/>
      <c r="T14" s="103"/>
      <c r="U14" s="105" t="n">
        <f aca="false">SUM(C14:Q14)</f>
        <v>3</v>
      </c>
      <c r="V14" s="103" t="n">
        <v>2</v>
      </c>
      <c r="W14" s="103" t="n">
        <v>2.5</v>
      </c>
      <c r="X14" s="103" t="n">
        <v>0</v>
      </c>
      <c r="Y14" s="106" t="n">
        <f aca="false">SUM(U14:X14)</f>
        <v>7.5</v>
      </c>
      <c r="Z14" s="103"/>
      <c r="AA14" s="103"/>
      <c r="AB14" s="114" t="s">
        <v>12</v>
      </c>
      <c r="AC14" s="115" t="n">
        <f aca="false">G78</f>
        <v>15</v>
      </c>
      <c r="AD14" s="116" t="n">
        <f aca="false">AC14/$AC$11</f>
        <v>0.0308008213552361</v>
      </c>
      <c r="AE14" s="116" t="n">
        <f aca="false">AE13+AD14</f>
        <v>0.0554414784394251</v>
      </c>
      <c r="AF14" s="115" t="n">
        <v>2</v>
      </c>
      <c r="AG14" s="117"/>
      <c r="AH14" s="103"/>
    </row>
    <row r="15" customFormat="false" ht="15" hidden="false" customHeight="false" outlineLevel="0" collapsed="false">
      <c r="A15" s="97"/>
      <c r="B15" s="107"/>
      <c r="C15" s="104" t="s">
        <v>182</v>
      </c>
      <c r="D15" s="105"/>
      <c r="E15" s="103"/>
      <c r="G15" s="103"/>
      <c r="H15" s="103" t="n">
        <v>3</v>
      </c>
      <c r="I15" s="103"/>
      <c r="J15" s="103"/>
      <c r="K15" s="103"/>
      <c r="L15" s="103"/>
      <c r="M15" s="103"/>
      <c r="N15" s="103"/>
      <c r="O15" s="103"/>
      <c r="P15" s="103"/>
      <c r="Q15" s="106"/>
      <c r="R15" s="103"/>
      <c r="S15" s="103"/>
      <c r="T15" s="103"/>
      <c r="U15" s="105" t="n">
        <f aca="false">SUM(C15:Q15)</f>
        <v>3</v>
      </c>
      <c r="V15" s="103" t="n">
        <v>2</v>
      </c>
      <c r="W15" s="103" t="n">
        <v>2.5</v>
      </c>
      <c r="X15" s="103" t="n">
        <v>0</v>
      </c>
      <c r="Y15" s="106" t="n">
        <f aca="false">SUM(U15:X15)</f>
        <v>7.5</v>
      </c>
      <c r="Z15" s="103"/>
      <c r="AA15" s="103"/>
      <c r="AB15" s="114" t="s">
        <v>13</v>
      </c>
      <c r="AC15" s="115" t="n">
        <f aca="false">H78</f>
        <v>27</v>
      </c>
      <c r="AD15" s="116" t="n">
        <f aca="false">AC15/$AC$11</f>
        <v>0.0554414784394251</v>
      </c>
      <c r="AE15" s="116" t="n">
        <f aca="false">AE14+AD15</f>
        <v>0.11088295687885</v>
      </c>
      <c r="AF15" s="115" t="n">
        <v>2</v>
      </c>
      <c r="AG15" s="117"/>
      <c r="AH15" s="103"/>
    </row>
    <row r="16" customFormat="false" ht="15" hidden="false" customHeight="false" outlineLevel="0" collapsed="false">
      <c r="A16" s="97"/>
      <c r="B16" s="107"/>
      <c r="C16" s="104" t="s">
        <v>183</v>
      </c>
      <c r="D16" s="105"/>
      <c r="E16" s="103"/>
      <c r="G16" s="103"/>
      <c r="H16" s="103" t="n">
        <v>3</v>
      </c>
      <c r="I16" s="103"/>
      <c r="J16" s="103"/>
      <c r="K16" s="103"/>
      <c r="L16" s="103"/>
      <c r="M16" s="103"/>
      <c r="N16" s="103"/>
      <c r="O16" s="103"/>
      <c r="P16" s="103"/>
      <c r="Q16" s="106"/>
      <c r="R16" s="103"/>
      <c r="S16" s="103"/>
      <c r="T16" s="103"/>
      <c r="U16" s="105" t="n">
        <f aca="false">SUM(C16:Q16)</f>
        <v>3</v>
      </c>
      <c r="V16" s="103" t="n">
        <v>2</v>
      </c>
      <c r="W16" s="103" t="n">
        <v>2.5</v>
      </c>
      <c r="X16" s="103" t="n">
        <v>0</v>
      </c>
      <c r="Y16" s="106" t="n">
        <f aca="false">SUM(U16:X16)</f>
        <v>7.5</v>
      </c>
      <c r="Z16" s="103"/>
      <c r="AA16" s="103"/>
      <c r="AB16" s="114" t="s">
        <v>14</v>
      </c>
      <c r="AC16" s="115" t="n">
        <f aca="false">I78</f>
        <v>12</v>
      </c>
      <c r="AD16" s="116" t="n">
        <f aca="false">AC16/$AC$11</f>
        <v>0.0246406570841889</v>
      </c>
      <c r="AE16" s="116" t="n">
        <f aca="false">AE15+AD16</f>
        <v>0.135523613963039</v>
      </c>
      <c r="AF16" s="115" t="n">
        <v>2</v>
      </c>
      <c r="AG16" s="117"/>
      <c r="AH16" s="103"/>
    </row>
    <row r="17" customFormat="false" ht="15" hidden="false" customHeight="false" outlineLevel="0" collapsed="false">
      <c r="A17" s="97"/>
      <c r="B17" s="107"/>
      <c r="C17" s="104" t="s">
        <v>184</v>
      </c>
      <c r="D17" s="105"/>
      <c r="E17" s="103"/>
      <c r="G17" s="103"/>
      <c r="H17" s="103" t="n">
        <v>6</v>
      </c>
      <c r="I17" s="103"/>
      <c r="J17" s="103"/>
      <c r="K17" s="103"/>
      <c r="L17" s="103"/>
      <c r="M17" s="103"/>
      <c r="N17" s="103"/>
      <c r="O17" s="103"/>
      <c r="P17" s="103"/>
      <c r="Q17" s="106"/>
      <c r="R17" s="103"/>
      <c r="S17" s="103"/>
      <c r="T17" s="103"/>
      <c r="U17" s="105" t="n">
        <f aca="false">SUM(C17:Q17)</f>
        <v>6</v>
      </c>
      <c r="V17" s="103" t="n">
        <v>2</v>
      </c>
      <c r="W17" s="103" t="n">
        <v>2.5</v>
      </c>
      <c r="X17" s="103" t="n">
        <v>0</v>
      </c>
      <c r="Y17" s="106" t="n">
        <f aca="false">SUM(U17:X17)</f>
        <v>10.5</v>
      </c>
      <c r="Z17" s="103"/>
      <c r="AA17" s="103"/>
      <c r="AB17" s="114" t="s">
        <v>15</v>
      </c>
      <c r="AC17" s="115" t="n">
        <f aca="false">J78</f>
        <v>24</v>
      </c>
      <c r="AD17" s="116" t="n">
        <f aca="false">AC17/$AC$11</f>
        <v>0.0492813141683778</v>
      </c>
      <c r="AE17" s="116" t="n">
        <f aca="false">AE16+AD17</f>
        <v>0.184804928131417</v>
      </c>
      <c r="AF17" s="115" t="n">
        <v>2</v>
      </c>
      <c r="AG17" s="117"/>
      <c r="AH17" s="103"/>
    </row>
    <row r="18" customFormat="false" ht="15" hidden="false" customHeight="false" outlineLevel="0" collapsed="false">
      <c r="A18" s="97"/>
      <c r="B18" s="107" t="n">
        <v>5</v>
      </c>
      <c r="C18" s="104" t="s">
        <v>185</v>
      </c>
      <c r="D18" s="105"/>
      <c r="E18" s="103"/>
      <c r="G18" s="103"/>
      <c r="H18" s="103" t="n">
        <v>3</v>
      </c>
      <c r="I18" s="103"/>
      <c r="J18" s="103"/>
      <c r="K18" s="103"/>
      <c r="L18" s="103"/>
      <c r="M18" s="103"/>
      <c r="N18" s="103"/>
      <c r="O18" s="103"/>
      <c r="P18" s="103"/>
      <c r="Q18" s="106"/>
      <c r="R18" s="103" t="n">
        <v>2</v>
      </c>
      <c r="S18" s="103"/>
      <c r="T18" s="103"/>
      <c r="U18" s="105" t="n">
        <f aca="false">SUM(C18:Q18)</f>
        <v>3</v>
      </c>
      <c r="V18" s="103" t="n">
        <v>2</v>
      </c>
      <c r="W18" s="103" t="n">
        <v>2.5</v>
      </c>
      <c r="X18" s="103" t="n">
        <v>2</v>
      </c>
      <c r="Y18" s="106" t="n">
        <f aca="false">SUM(U18:X18)</f>
        <v>9.5</v>
      </c>
      <c r="Z18" s="103"/>
      <c r="AA18" s="103"/>
      <c r="AB18" s="114" t="s">
        <v>16</v>
      </c>
      <c r="AC18" s="115" t="n">
        <f aca="false">K78</f>
        <v>9</v>
      </c>
      <c r="AD18" s="116" t="n">
        <f aca="false">AC18/$AC$11</f>
        <v>0.0184804928131417</v>
      </c>
      <c r="AE18" s="116" t="n">
        <f aca="false">AE17+AD18</f>
        <v>0.203285420944559</v>
      </c>
      <c r="AF18" s="115" t="n">
        <v>2</v>
      </c>
      <c r="AG18" s="117"/>
      <c r="AH18" s="103"/>
    </row>
    <row r="19" customFormat="false" ht="15" hidden="false" customHeight="false" outlineLevel="0" collapsed="false">
      <c r="A19" s="97"/>
      <c r="B19" s="107"/>
      <c r="C19" s="104" t="s">
        <v>186</v>
      </c>
      <c r="D19" s="105"/>
      <c r="E19" s="103"/>
      <c r="F19" s="103"/>
      <c r="G19" s="103"/>
      <c r="H19" s="103"/>
      <c r="I19" s="103" t="n">
        <v>3</v>
      </c>
      <c r="J19" s="103"/>
      <c r="K19" s="103"/>
      <c r="L19" s="103"/>
      <c r="M19" s="103"/>
      <c r="N19" s="103"/>
      <c r="O19" s="103"/>
      <c r="P19" s="103"/>
      <c r="Q19" s="106"/>
      <c r="R19" s="103"/>
      <c r="S19" s="103"/>
      <c r="T19" s="103"/>
      <c r="U19" s="105" t="n">
        <f aca="false">SUM(C19:Q19)</f>
        <v>3</v>
      </c>
      <c r="V19" s="103" t="n">
        <v>2</v>
      </c>
      <c r="W19" s="103" t="n">
        <v>2.5</v>
      </c>
      <c r="X19" s="103" t="n">
        <v>0</v>
      </c>
      <c r="Y19" s="106" t="n">
        <f aca="false">SUM(U19:X19)</f>
        <v>7.5</v>
      </c>
      <c r="Z19" s="103"/>
      <c r="AA19" s="103"/>
      <c r="AB19" s="114" t="s">
        <v>17</v>
      </c>
      <c r="AC19" s="115" t="n">
        <f aca="false">L78</f>
        <v>12</v>
      </c>
      <c r="AD19" s="116" t="n">
        <f aca="false">AC19/$AC$11</f>
        <v>0.0246406570841889</v>
      </c>
      <c r="AE19" s="116" t="n">
        <f aca="false">AE18+AD19</f>
        <v>0.227926078028747</v>
      </c>
      <c r="AF19" s="115" t="n">
        <v>2</v>
      </c>
      <c r="AG19" s="117"/>
      <c r="AH19" s="103"/>
    </row>
    <row r="20" customFormat="false" ht="15" hidden="false" customHeight="false" outlineLevel="0" collapsed="false">
      <c r="A20" s="97"/>
      <c r="B20" s="107"/>
      <c r="C20" s="104" t="s">
        <v>187</v>
      </c>
      <c r="D20" s="105"/>
      <c r="E20" s="103"/>
      <c r="F20" s="103"/>
      <c r="G20" s="103"/>
      <c r="H20" s="103"/>
      <c r="I20" s="103" t="n">
        <v>3</v>
      </c>
      <c r="J20" s="103"/>
      <c r="K20" s="103"/>
      <c r="L20" s="103"/>
      <c r="M20" s="103"/>
      <c r="N20" s="103"/>
      <c r="O20" s="103"/>
      <c r="P20" s="103"/>
      <c r="Q20" s="106"/>
      <c r="R20" s="103"/>
      <c r="T20" s="103"/>
      <c r="U20" s="105" t="n">
        <f aca="false">SUM(C20:Q20)</f>
        <v>3</v>
      </c>
      <c r="V20" s="103" t="n">
        <v>2</v>
      </c>
      <c r="W20" s="103" t="n">
        <v>2.5</v>
      </c>
      <c r="X20" s="103" t="n">
        <v>0</v>
      </c>
      <c r="Y20" s="106" t="n">
        <f aca="false">SUM(U20:X20)</f>
        <v>7.5</v>
      </c>
      <c r="Z20" s="103"/>
      <c r="AA20" s="103"/>
      <c r="AB20" s="114" t="s">
        <v>18</v>
      </c>
      <c r="AC20" s="115" t="n">
        <f aca="false">M78</f>
        <v>21</v>
      </c>
      <c r="AD20" s="116" t="n">
        <f aca="false">AC20/$AC$11</f>
        <v>0.0431211498973306</v>
      </c>
      <c r="AE20" s="116" t="n">
        <f aca="false">AE19+AD20</f>
        <v>0.271047227926078</v>
      </c>
      <c r="AF20" s="115" t="n">
        <v>2</v>
      </c>
      <c r="AG20" s="117"/>
      <c r="AH20" s="103"/>
    </row>
    <row r="21" customFormat="false" ht="15" hidden="false" customHeight="false" outlineLevel="0" collapsed="false">
      <c r="A21" s="97"/>
      <c r="B21" s="107"/>
      <c r="C21" s="104" t="s">
        <v>188</v>
      </c>
      <c r="D21" s="105"/>
      <c r="E21" s="103"/>
      <c r="F21" s="103"/>
      <c r="G21" s="103"/>
      <c r="H21" s="103"/>
      <c r="I21" s="103" t="n">
        <v>3</v>
      </c>
      <c r="J21" s="103"/>
      <c r="K21" s="103"/>
      <c r="L21" s="103"/>
      <c r="M21" s="103"/>
      <c r="N21" s="103"/>
      <c r="O21" s="103"/>
      <c r="P21" s="103"/>
      <c r="Q21" s="106"/>
      <c r="R21" s="103"/>
      <c r="S21" s="103"/>
      <c r="T21" s="103"/>
      <c r="U21" s="105" t="n">
        <f aca="false">SUM(C21:Q21)</f>
        <v>3</v>
      </c>
      <c r="V21" s="103" t="n">
        <v>2</v>
      </c>
      <c r="W21" s="103" t="n">
        <v>2.5</v>
      </c>
      <c r="X21" s="103" t="n">
        <v>0</v>
      </c>
      <c r="Y21" s="106" t="n">
        <f aca="false">SUM(U21:X21)</f>
        <v>7.5</v>
      </c>
      <c r="Z21" s="103"/>
      <c r="AA21" s="103"/>
      <c r="AB21" s="114" t="s">
        <v>19</v>
      </c>
      <c r="AC21" s="115" t="n">
        <f aca="false">N78</f>
        <v>18</v>
      </c>
      <c r="AD21" s="116" t="n">
        <f aca="false">AC21/$AC$11</f>
        <v>0.0369609856262834</v>
      </c>
      <c r="AE21" s="116" t="n">
        <f aca="false">AE20+AD21</f>
        <v>0.308008213552361</v>
      </c>
      <c r="AF21" s="115" t="n">
        <v>2</v>
      </c>
      <c r="AG21" s="117"/>
    </row>
    <row r="22" customFormat="false" ht="15" hidden="false" customHeight="false" outlineLevel="0" collapsed="false">
      <c r="A22" s="97"/>
      <c r="B22" s="107" t="n">
        <v>6</v>
      </c>
      <c r="C22" s="104" t="s">
        <v>189</v>
      </c>
      <c r="D22" s="105"/>
      <c r="E22" s="103"/>
      <c r="F22" s="103"/>
      <c r="G22" s="103"/>
      <c r="H22" s="103"/>
      <c r="I22" s="103" t="n">
        <v>3</v>
      </c>
      <c r="J22" s="103"/>
      <c r="K22" s="103"/>
      <c r="L22" s="103"/>
      <c r="M22" s="103"/>
      <c r="N22" s="103"/>
      <c r="O22" s="103"/>
      <c r="P22" s="103"/>
      <c r="Q22" s="106"/>
      <c r="R22" s="103" t="n">
        <v>2</v>
      </c>
      <c r="T22" s="103"/>
      <c r="U22" s="105" t="n">
        <f aca="false">SUM(C22:Q22)</f>
        <v>3</v>
      </c>
      <c r="V22" s="103" t="n">
        <v>2</v>
      </c>
      <c r="W22" s="103" t="n">
        <v>2.5</v>
      </c>
      <c r="X22" s="103" t="n">
        <v>0</v>
      </c>
      <c r="Y22" s="106" t="n">
        <f aca="false">SUM(U22:X22)</f>
        <v>7.5</v>
      </c>
      <c r="Z22" s="103"/>
      <c r="AA22" s="103"/>
      <c r="AB22" s="114" t="s">
        <v>20</v>
      </c>
      <c r="AC22" s="115" t="n">
        <f aca="false">O78</f>
        <v>15</v>
      </c>
      <c r="AD22" s="116" t="n">
        <f aca="false">AC22/$AC$11</f>
        <v>0.0308008213552361</v>
      </c>
      <c r="AE22" s="116" t="n">
        <f aca="false">AE21+AD22</f>
        <v>0.338809034907598</v>
      </c>
      <c r="AF22" s="115" t="n">
        <v>2</v>
      </c>
      <c r="AG22" s="117"/>
    </row>
    <row r="23" customFormat="false" ht="15" hidden="false" customHeight="false" outlineLevel="0" collapsed="false">
      <c r="A23" s="97"/>
      <c r="B23" s="107"/>
      <c r="C23" s="104" t="s">
        <v>190</v>
      </c>
      <c r="D23" s="105"/>
      <c r="E23" s="103"/>
      <c r="F23" s="103"/>
      <c r="G23" s="103"/>
      <c r="H23" s="103"/>
      <c r="I23" s="103"/>
      <c r="J23" s="103" t="n">
        <v>6</v>
      </c>
      <c r="K23" s="103"/>
      <c r="L23" s="103"/>
      <c r="M23" s="103"/>
      <c r="N23" s="103"/>
      <c r="O23" s="103"/>
      <c r="P23" s="103"/>
      <c r="Q23" s="106"/>
      <c r="R23" s="103"/>
      <c r="S23" s="113" t="s">
        <v>180</v>
      </c>
      <c r="T23" s="103"/>
      <c r="U23" s="105" t="n">
        <f aca="false">SUM(C23:Q23)</f>
        <v>6</v>
      </c>
      <c r="V23" s="103" t="n">
        <v>2</v>
      </c>
      <c r="W23" s="103" t="n">
        <v>2.5</v>
      </c>
      <c r="X23" s="103" t="n">
        <v>2</v>
      </c>
      <c r="Y23" s="106" t="n">
        <f aca="false">SUM(U23:X23)</f>
        <v>12.5</v>
      </c>
      <c r="Z23" s="103"/>
      <c r="AA23" s="103"/>
      <c r="AB23" s="114" t="s">
        <v>21</v>
      </c>
      <c r="AC23" s="115" t="n">
        <f aca="false">P78</f>
        <v>15</v>
      </c>
      <c r="AD23" s="116" t="n">
        <f aca="false">AC23/$AC$11</f>
        <v>0.0308008213552361</v>
      </c>
      <c r="AE23" s="116" t="n">
        <f aca="false">AE22+AD23</f>
        <v>0.369609856262834</v>
      </c>
      <c r="AF23" s="115" t="n">
        <v>2</v>
      </c>
      <c r="AG23" s="117"/>
    </row>
    <row r="24" customFormat="false" ht="15" hidden="false" customHeight="false" outlineLevel="0" collapsed="false">
      <c r="A24" s="97"/>
      <c r="B24" s="107"/>
      <c r="C24" s="104" t="s">
        <v>191</v>
      </c>
      <c r="D24" s="105"/>
      <c r="E24" s="103"/>
      <c r="F24" s="103"/>
      <c r="G24" s="103"/>
      <c r="H24" s="103"/>
      <c r="I24" s="103"/>
      <c r="J24" s="103" t="n">
        <v>3</v>
      </c>
      <c r="K24" s="103"/>
      <c r="L24" s="103"/>
      <c r="M24" s="103"/>
      <c r="N24" s="103"/>
      <c r="O24" s="103"/>
      <c r="P24" s="103"/>
      <c r="Q24" s="106"/>
      <c r="R24" s="103"/>
      <c r="T24" s="103"/>
      <c r="U24" s="105" t="n">
        <f aca="false">SUM(C24:Q24)</f>
        <v>3</v>
      </c>
      <c r="V24" s="103" t="n">
        <v>2</v>
      </c>
      <c r="W24" s="103" t="n">
        <v>2.5</v>
      </c>
      <c r="X24" s="103" t="n">
        <v>0</v>
      </c>
      <c r="Y24" s="106" t="n">
        <f aca="false">SUM(U24:X24)</f>
        <v>7.5</v>
      </c>
      <c r="Z24" s="103"/>
      <c r="AA24" s="103"/>
      <c r="AB24" s="114" t="s">
        <v>22</v>
      </c>
      <c r="AC24" s="118" t="n">
        <v>11</v>
      </c>
      <c r="AD24" s="116" t="n">
        <f aca="false">AC24/$AC$11</f>
        <v>0.0225872689938398</v>
      </c>
      <c r="AE24" s="119" t="n">
        <f aca="false">AE23+AD24</f>
        <v>0.392197125256674</v>
      </c>
      <c r="AF24" s="115" t="n">
        <v>2</v>
      </c>
      <c r="AG24" s="117"/>
    </row>
    <row r="25" customFormat="false" ht="15" hidden="false" customHeight="false" outlineLevel="0" collapsed="false">
      <c r="A25" s="97"/>
      <c r="B25" s="107"/>
      <c r="C25" s="104" t="s">
        <v>192</v>
      </c>
      <c r="D25" s="105"/>
      <c r="E25" s="103"/>
      <c r="F25" s="103"/>
      <c r="G25" s="103"/>
      <c r="H25" s="103"/>
      <c r="I25" s="103"/>
      <c r="J25" s="103" t="n">
        <v>3</v>
      </c>
      <c r="K25" s="103"/>
      <c r="L25" s="103"/>
      <c r="M25" s="103"/>
      <c r="N25" s="103"/>
      <c r="O25" s="103"/>
      <c r="P25" s="103"/>
      <c r="Q25" s="106"/>
      <c r="R25" s="103"/>
      <c r="T25" s="103"/>
      <c r="U25" s="105" t="n">
        <f aca="false">SUM(C25:Q25)</f>
        <v>3</v>
      </c>
      <c r="V25" s="103" t="n">
        <v>2</v>
      </c>
      <c r="W25" s="103" t="n">
        <v>2.5</v>
      </c>
      <c r="X25" s="103" t="n">
        <v>0</v>
      </c>
      <c r="Y25" s="106" t="n">
        <f aca="false">SUM(U25:X25)</f>
        <v>7.5</v>
      </c>
      <c r="Z25" s="103"/>
      <c r="AA25" s="103"/>
      <c r="AB25" s="93"/>
      <c r="AC25" s="120" t="n">
        <f aca="false">SUM(AC13:AC24)</f>
        <v>191</v>
      </c>
      <c r="AD25" s="121" t="n">
        <f aca="false">SUM(AC25/AC11)</f>
        <v>0.392197125256674</v>
      </c>
      <c r="AE25" s="103"/>
      <c r="AF25" s="110" t="n">
        <f aca="false">SUM(AF13:AF24)</f>
        <v>24</v>
      </c>
      <c r="AG25" s="103"/>
    </row>
    <row r="26" customFormat="false" ht="15" hidden="false" customHeight="false" outlineLevel="0" collapsed="false">
      <c r="A26" s="97"/>
      <c r="B26" s="107" t="n">
        <v>7</v>
      </c>
      <c r="C26" s="104" t="s">
        <v>193</v>
      </c>
      <c r="D26" s="105"/>
      <c r="E26" s="103"/>
      <c r="F26" s="103"/>
      <c r="G26" s="103"/>
      <c r="H26" s="103"/>
      <c r="I26" s="103"/>
      <c r="J26" s="103" t="n">
        <v>3</v>
      </c>
      <c r="K26" s="103"/>
      <c r="L26" s="103"/>
      <c r="M26" s="103"/>
      <c r="N26" s="103"/>
      <c r="O26" s="103"/>
      <c r="P26" s="103"/>
      <c r="Q26" s="106"/>
      <c r="R26" s="103" t="n">
        <v>2</v>
      </c>
      <c r="S26" s="103"/>
      <c r="T26" s="103"/>
      <c r="U26" s="105" t="n">
        <f aca="false">SUM(C26:Q26)</f>
        <v>3</v>
      </c>
      <c r="V26" s="103" t="n">
        <v>2</v>
      </c>
      <c r="W26" s="103" t="n">
        <v>2.5</v>
      </c>
      <c r="X26" s="103" t="n">
        <v>0</v>
      </c>
      <c r="Y26" s="106" t="n">
        <f aca="false">SUM(U26:X26)</f>
        <v>7.5</v>
      </c>
      <c r="Z26" s="103"/>
      <c r="AA26" s="103"/>
      <c r="AB26" s="93"/>
      <c r="AC26" s="111" t="s">
        <v>175</v>
      </c>
      <c r="AD26" s="111" t="s">
        <v>176</v>
      </c>
      <c r="AE26" s="112" t="s">
        <v>177</v>
      </c>
      <c r="AF26" s="103"/>
      <c r="AG26" s="103"/>
    </row>
    <row r="27" customFormat="false" ht="15" hidden="false" customHeight="false" outlineLevel="0" collapsed="false">
      <c r="A27" s="97"/>
      <c r="B27" s="107"/>
      <c r="C27" s="104" t="s">
        <v>194</v>
      </c>
      <c r="D27" s="105"/>
      <c r="E27" s="103"/>
      <c r="F27" s="103"/>
      <c r="G27" s="103"/>
      <c r="H27" s="103"/>
      <c r="I27" s="103"/>
      <c r="J27" s="103" t="n">
        <v>3</v>
      </c>
      <c r="K27" s="103"/>
      <c r="L27" s="103"/>
      <c r="M27" s="103"/>
      <c r="N27" s="103"/>
      <c r="O27" s="103"/>
      <c r="P27" s="103"/>
      <c r="Q27" s="106"/>
      <c r="R27" s="103"/>
      <c r="S27" s="103"/>
      <c r="T27" s="103"/>
      <c r="U27" s="105" t="n">
        <f aca="false">SUM(C27:Q27)</f>
        <v>3</v>
      </c>
      <c r="V27" s="103" t="n">
        <v>2</v>
      </c>
      <c r="W27" s="103" t="n">
        <v>2.5</v>
      </c>
      <c r="X27" s="103" t="n">
        <v>0</v>
      </c>
      <c r="Y27" s="106" t="n">
        <f aca="false">SUM(U27:X27)</f>
        <v>7.5</v>
      </c>
      <c r="Z27" s="103"/>
      <c r="AA27" s="103"/>
      <c r="AB27" s="122" t="s">
        <v>195</v>
      </c>
      <c r="AC27" s="115" t="n">
        <v>10</v>
      </c>
      <c r="AD27" s="123" t="n">
        <v>0.2</v>
      </c>
      <c r="AE27" s="116" t="n">
        <v>0.2</v>
      </c>
    </row>
    <row r="28" customFormat="false" ht="15" hidden="false" customHeight="false" outlineLevel="0" collapsed="false">
      <c r="A28" s="97"/>
      <c r="B28" s="107"/>
      <c r="C28" s="104" t="s">
        <v>196</v>
      </c>
      <c r="D28" s="105"/>
      <c r="E28" s="103"/>
      <c r="F28" s="103"/>
      <c r="G28" s="103"/>
      <c r="H28" s="103"/>
      <c r="I28" s="103"/>
      <c r="J28" s="103" t="n">
        <v>3</v>
      </c>
      <c r="K28" s="103"/>
      <c r="L28" s="103"/>
      <c r="M28" s="103"/>
      <c r="N28" s="103"/>
      <c r="O28" s="103"/>
      <c r="P28" s="103"/>
      <c r="Q28" s="106"/>
      <c r="R28" s="103"/>
      <c r="S28" s="103"/>
      <c r="T28" s="103"/>
      <c r="U28" s="105" t="n">
        <f aca="false">SUM(C28:Q28)</f>
        <v>3</v>
      </c>
      <c r="V28" s="103" t="n">
        <v>2</v>
      </c>
      <c r="W28" s="103" t="n">
        <v>2.5</v>
      </c>
      <c r="X28" s="103" t="n">
        <v>0</v>
      </c>
      <c r="Y28" s="106" t="n">
        <f aca="false">SUM(U28:X28)</f>
        <v>7.5</v>
      </c>
      <c r="Z28" s="103"/>
      <c r="AA28" s="103"/>
      <c r="AB28" s="122" t="s">
        <v>197</v>
      </c>
      <c r="AC28" s="115" t="n">
        <v>10</v>
      </c>
      <c r="AD28" s="123" t="n">
        <v>0.2</v>
      </c>
      <c r="AE28" s="116" t="n">
        <v>0.4</v>
      </c>
    </row>
    <row r="29" customFormat="false" ht="15" hidden="false" customHeight="false" outlineLevel="0" collapsed="false">
      <c r="A29" s="97"/>
      <c r="B29" s="107"/>
      <c r="C29" s="104" t="s">
        <v>198</v>
      </c>
      <c r="D29" s="105"/>
      <c r="E29" s="103"/>
      <c r="F29" s="103"/>
      <c r="G29" s="103"/>
      <c r="H29" s="103"/>
      <c r="I29" s="103"/>
      <c r="J29" s="110" t="n">
        <v>3</v>
      </c>
      <c r="L29" s="103"/>
      <c r="M29" s="103"/>
      <c r="N29" s="103"/>
      <c r="O29" s="103"/>
      <c r="P29" s="103"/>
      <c r="Q29" s="106"/>
      <c r="R29" s="103"/>
      <c r="S29" s="103"/>
      <c r="T29" s="103"/>
      <c r="U29" s="105" t="n">
        <f aca="false">SUM(C29:Q29)</f>
        <v>3</v>
      </c>
      <c r="V29" s="103" t="n">
        <v>2</v>
      </c>
      <c r="W29" s="103" t="n">
        <v>2.5</v>
      </c>
      <c r="X29" s="103" t="n">
        <v>0</v>
      </c>
      <c r="Y29" s="106" t="n">
        <f aca="false">SUM(U29:X29)</f>
        <v>7.5</v>
      </c>
      <c r="Z29" s="103" t="s">
        <v>199</v>
      </c>
      <c r="AA29" s="103"/>
      <c r="AB29" s="122" t="s">
        <v>200</v>
      </c>
      <c r="AC29" s="115" t="n">
        <v>10</v>
      </c>
      <c r="AD29" s="123" t="n">
        <v>0.2</v>
      </c>
      <c r="AE29" s="116" t="n">
        <v>0.6</v>
      </c>
    </row>
    <row r="30" customFormat="false" ht="15" hidden="false" customHeight="false" outlineLevel="0" collapsed="false">
      <c r="A30" s="97"/>
      <c r="B30" s="107" t="n">
        <v>8</v>
      </c>
      <c r="C30" s="104" t="s">
        <v>201</v>
      </c>
      <c r="D30" s="105"/>
      <c r="E30" s="103"/>
      <c r="F30" s="103"/>
      <c r="G30" s="103"/>
      <c r="H30" s="103"/>
      <c r="I30" s="103"/>
      <c r="J30" s="103"/>
      <c r="K30" s="1" t="n">
        <v>3</v>
      </c>
      <c r="L30" s="103"/>
      <c r="M30" s="103"/>
      <c r="N30" s="103"/>
      <c r="O30" s="103"/>
      <c r="P30" s="103"/>
      <c r="Q30" s="106"/>
      <c r="R30" s="103" t="n">
        <v>2</v>
      </c>
      <c r="T30" s="103"/>
      <c r="U30" s="105" t="n">
        <f aca="false">SUM(C30:Q30)</f>
        <v>3</v>
      </c>
      <c r="V30" s="103" t="n">
        <v>2</v>
      </c>
      <c r="W30" s="103" t="n">
        <v>2.5</v>
      </c>
      <c r="X30" s="103" t="n">
        <v>2</v>
      </c>
      <c r="Y30" s="106" t="n">
        <f aca="false">SUM(U30:X30)</f>
        <v>9.5</v>
      </c>
      <c r="AA30" s="103"/>
      <c r="AB30" s="122" t="s">
        <v>202</v>
      </c>
      <c r="AC30" s="115" t="n">
        <v>10</v>
      </c>
      <c r="AD30" s="123" t="n">
        <v>0.2</v>
      </c>
      <c r="AE30" s="116" t="n">
        <v>0.8</v>
      </c>
    </row>
    <row r="31" customFormat="false" ht="15" hidden="false" customHeight="false" outlineLevel="0" collapsed="false">
      <c r="A31" s="97"/>
      <c r="B31" s="107"/>
      <c r="C31" s="104" t="s">
        <v>203</v>
      </c>
      <c r="D31" s="105"/>
      <c r="E31" s="103"/>
      <c r="F31" s="103"/>
      <c r="G31" s="103"/>
      <c r="H31" s="103"/>
      <c r="I31" s="103"/>
      <c r="J31" s="103"/>
      <c r="K31" s="103" t="n">
        <v>3</v>
      </c>
      <c r="M31" s="103"/>
      <c r="N31" s="103"/>
      <c r="O31" s="103"/>
      <c r="P31" s="103"/>
      <c r="Q31" s="106"/>
      <c r="R31" s="103"/>
      <c r="S31" s="103"/>
      <c r="T31" s="103"/>
      <c r="U31" s="105" t="n">
        <f aca="false">SUM(C31:Q31)</f>
        <v>3</v>
      </c>
      <c r="V31" s="103" t="n">
        <v>2</v>
      </c>
      <c r="W31" s="103" t="n">
        <v>2.5</v>
      </c>
      <c r="X31" s="103" t="n">
        <v>0</v>
      </c>
      <c r="Y31" s="106" t="n">
        <f aca="false">SUM(U31:X31)</f>
        <v>7.5</v>
      </c>
      <c r="Z31" s="103"/>
      <c r="AA31" s="103"/>
      <c r="AB31" s="122" t="s">
        <v>204</v>
      </c>
      <c r="AC31" s="118" t="n">
        <v>10</v>
      </c>
      <c r="AD31" s="124" t="n">
        <v>0.2</v>
      </c>
      <c r="AE31" s="119" t="n">
        <v>1</v>
      </c>
    </row>
    <row r="32" customFormat="false" ht="15" hidden="false" customHeight="false" outlineLevel="0" collapsed="false">
      <c r="A32" s="97"/>
      <c r="B32" s="107"/>
      <c r="C32" s="104" t="s">
        <v>205</v>
      </c>
      <c r="D32" s="105"/>
      <c r="E32" s="103"/>
      <c r="F32" s="103"/>
      <c r="G32" s="103"/>
      <c r="H32" s="103"/>
      <c r="I32" s="103"/>
      <c r="J32" s="103"/>
      <c r="K32" s="103" t="n">
        <v>3</v>
      </c>
      <c r="M32" s="103"/>
      <c r="N32" s="103"/>
      <c r="O32" s="103"/>
      <c r="P32" s="103"/>
      <c r="Q32" s="106"/>
      <c r="R32" s="103"/>
      <c r="T32" s="103"/>
      <c r="U32" s="105" t="n">
        <f aca="false">SUM(C32:Q32)</f>
        <v>3</v>
      </c>
      <c r="V32" s="103" t="n">
        <v>2</v>
      </c>
      <c r="W32" s="103" t="n">
        <v>2.5</v>
      </c>
      <c r="X32" s="103" t="n">
        <v>0</v>
      </c>
      <c r="Y32" s="106" t="n">
        <f aca="false">SUM(U32:X32)</f>
        <v>7.5</v>
      </c>
      <c r="Z32" s="103"/>
      <c r="AA32" s="103"/>
      <c r="AC32" s="40" t="n">
        <f aca="false">SUM(AC27:AC31)</f>
        <v>50</v>
      </c>
      <c r="AD32" s="125" t="n">
        <f aca="false">SUM(AD27:AD31)</f>
        <v>1</v>
      </c>
    </row>
    <row r="33" customFormat="false" ht="15" hidden="false" customHeight="false" outlineLevel="0" collapsed="false">
      <c r="A33" s="97"/>
      <c r="B33" s="107"/>
      <c r="C33" s="104" t="s">
        <v>206</v>
      </c>
      <c r="D33" s="105"/>
      <c r="E33" s="103"/>
      <c r="F33" s="103"/>
      <c r="G33" s="103"/>
      <c r="H33" s="103"/>
      <c r="I33" s="103"/>
      <c r="J33" s="103"/>
      <c r="K33" s="103"/>
      <c r="L33" s="103" t="n">
        <v>3</v>
      </c>
      <c r="M33" s="103"/>
      <c r="N33" s="103"/>
      <c r="O33" s="103"/>
      <c r="P33" s="103"/>
      <c r="Q33" s="106"/>
      <c r="R33" s="103"/>
      <c r="S33" s="113" t="s">
        <v>180</v>
      </c>
      <c r="T33" s="103"/>
      <c r="U33" s="105" t="n">
        <f aca="false">SUM(C33:Q33)</f>
        <v>3</v>
      </c>
      <c r="V33" s="103" t="n">
        <v>2</v>
      </c>
      <c r="W33" s="103" t="n">
        <v>2.5</v>
      </c>
      <c r="X33" s="103" t="n">
        <v>0</v>
      </c>
      <c r="Y33" s="106" t="n">
        <f aca="false">SUM(U33:X33)</f>
        <v>7.5</v>
      </c>
      <c r="Z33" s="103"/>
      <c r="AA33" s="103"/>
    </row>
    <row r="34" customFormat="false" ht="15" hidden="false" customHeight="false" outlineLevel="0" collapsed="false">
      <c r="A34" s="97"/>
      <c r="B34" s="107" t="n">
        <v>9</v>
      </c>
      <c r="C34" s="104" t="s">
        <v>207</v>
      </c>
      <c r="D34" s="105"/>
      <c r="E34" s="103"/>
      <c r="F34" s="103"/>
      <c r="G34" s="103"/>
      <c r="H34" s="103"/>
      <c r="I34" s="103"/>
      <c r="J34" s="103"/>
      <c r="K34" s="103"/>
      <c r="L34" s="103" t="n">
        <v>3</v>
      </c>
      <c r="N34" s="103"/>
      <c r="O34" s="103"/>
      <c r="P34" s="103"/>
      <c r="Q34" s="106"/>
      <c r="R34" s="103" t="n">
        <v>2</v>
      </c>
      <c r="T34" s="103"/>
      <c r="U34" s="105" t="n">
        <f aca="false">SUM(C34:Q34)</f>
        <v>3</v>
      </c>
      <c r="V34" s="103" t="n">
        <v>2</v>
      </c>
      <c r="W34" s="103" t="n">
        <v>2.5</v>
      </c>
      <c r="X34" s="103" t="n">
        <v>2</v>
      </c>
      <c r="Y34" s="106" t="n">
        <f aca="false">SUM(U34:X34)</f>
        <v>9.5</v>
      </c>
      <c r="Z34" s="103"/>
      <c r="AA34" s="103"/>
    </row>
    <row r="35" customFormat="false" ht="15" hidden="false" customHeight="false" outlineLevel="0" collapsed="false">
      <c r="A35" s="97"/>
      <c r="B35" s="107"/>
      <c r="C35" s="104" t="s">
        <v>208</v>
      </c>
      <c r="D35" s="105"/>
      <c r="E35" s="103"/>
      <c r="F35" s="103"/>
      <c r="G35" s="103"/>
      <c r="H35" s="103"/>
      <c r="I35" s="103"/>
      <c r="J35" s="103"/>
      <c r="K35" s="103"/>
      <c r="L35" s="103" t="n">
        <v>3</v>
      </c>
      <c r="N35" s="103"/>
      <c r="O35" s="103"/>
      <c r="P35" s="103"/>
      <c r="Q35" s="106"/>
      <c r="R35" s="103"/>
      <c r="S35" s="103"/>
      <c r="T35" s="103"/>
      <c r="U35" s="105" t="n">
        <f aca="false">SUM(C35:Q35)</f>
        <v>3</v>
      </c>
      <c r="V35" s="103" t="n">
        <v>2</v>
      </c>
      <c r="W35" s="103" t="n">
        <v>2.5</v>
      </c>
      <c r="X35" s="103" t="n">
        <v>0</v>
      </c>
      <c r="Y35" s="106" t="n">
        <f aca="false">SUM(U35:X35)</f>
        <v>7.5</v>
      </c>
      <c r="Z35" s="103"/>
      <c r="AA35" s="103"/>
    </row>
    <row r="36" customFormat="false" ht="15" hidden="false" customHeight="false" outlineLevel="0" collapsed="false">
      <c r="A36" s="97"/>
      <c r="B36" s="107"/>
      <c r="C36" s="104" t="s">
        <v>209</v>
      </c>
      <c r="D36" s="105"/>
      <c r="E36" s="103"/>
      <c r="F36" s="103"/>
      <c r="G36" s="103"/>
      <c r="H36" s="103"/>
      <c r="I36" s="103"/>
      <c r="J36" s="103"/>
      <c r="K36" s="103"/>
      <c r="L36" s="110" t="n">
        <v>3</v>
      </c>
      <c r="N36" s="103"/>
      <c r="O36" s="103"/>
      <c r="P36" s="103"/>
      <c r="Q36" s="106"/>
      <c r="R36" s="103"/>
      <c r="S36" s="103"/>
      <c r="T36" s="103"/>
      <c r="U36" s="105" t="n">
        <f aca="false">SUM(C36:Q36)</f>
        <v>3</v>
      </c>
      <c r="V36" s="103" t="n">
        <v>2</v>
      </c>
      <c r="W36" s="103" t="n">
        <v>2.5</v>
      </c>
      <c r="X36" s="103" t="n">
        <v>0</v>
      </c>
      <c r="Y36" s="106" t="n">
        <f aca="false">SUM(U36:X36)</f>
        <v>7.5</v>
      </c>
      <c r="Z36" s="103" t="s">
        <v>199</v>
      </c>
      <c r="AA36" s="103"/>
    </row>
    <row r="37" customFormat="false" ht="15" hidden="false" customHeight="false" outlineLevel="0" collapsed="false">
      <c r="A37" s="97"/>
      <c r="B37" s="107"/>
      <c r="C37" s="104" t="s">
        <v>210</v>
      </c>
      <c r="D37" s="105"/>
      <c r="E37" s="103"/>
      <c r="F37" s="103"/>
      <c r="G37" s="103"/>
      <c r="H37" s="103"/>
      <c r="I37" s="103"/>
      <c r="J37" s="103"/>
      <c r="K37" s="103"/>
      <c r="M37" s="103" t="n">
        <v>3</v>
      </c>
      <c r="N37" s="103"/>
      <c r="O37" s="103"/>
      <c r="P37" s="103"/>
      <c r="Q37" s="106"/>
      <c r="R37" s="103"/>
      <c r="S37" s="103"/>
      <c r="T37" s="103"/>
      <c r="U37" s="105" t="n">
        <f aca="false">SUM(C37:Q37)</f>
        <v>3</v>
      </c>
      <c r="V37" s="103" t="n">
        <v>2</v>
      </c>
      <c r="W37" s="103" t="n">
        <v>2.5</v>
      </c>
      <c r="X37" s="103" t="n">
        <v>0</v>
      </c>
      <c r="Y37" s="106" t="n">
        <f aca="false">SUM(U37:X37)</f>
        <v>7.5</v>
      </c>
      <c r="Z37" s="103"/>
      <c r="AA37" s="103"/>
    </row>
    <row r="38" customFormat="false" ht="15" hidden="false" customHeight="false" outlineLevel="0" collapsed="false">
      <c r="A38" s="97"/>
      <c r="B38" s="107" t="n">
        <v>10</v>
      </c>
      <c r="C38" s="104" t="s">
        <v>211</v>
      </c>
      <c r="D38" s="105"/>
      <c r="E38" s="103"/>
      <c r="F38" s="103"/>
      <c r="G38" s="103"/>
      <c r="H38" s="103"/>
      <c r="I38" s="103"/>
      <c r="J38" s="103"/>
      <c r="K38" s="103"/>
      <c r="L38" s="103"/>
      <c r="M38" s="103" t="n">
        <v>3</v>
      </c>
      <c r="N38" s="103"/>
      <c r="O38" s="103"/>
      <c r="P38" s="103"/>
      <c r="Q38" s="106"/>
      <c r="R38" s="103" t="n">
        <v>2</v>
      </c>
      <c r="T38" s="103"/>
      <c r="U38" s="105" t="n">
        <f aca="false">SUM(C38:Q38)</f>
        <v>3</v>
      </c>
      <c r="V38" s="103" t="n">
        <v>2</v>
      </c>
      <c r="W38" s="103" t="n">
        <v>2.5</v>
      </c>
      <c r="X38" s="103" t="n">
        <v>2</v>
      </c>
      <c r="Y38" s="106" t="n">
        <f aca="false">SUM(U38:X38)</f>
        <v>9.5</v>
      </c>
      <c r="Z38" s="103"/>
      <c r="AA38" s="103"/>
      <c r="AH38" s="103"/>
    </row>
    <row r="39" customFormat="false" ht="15" hidden="false" customHeight="false" outlineLevel="0" collapsed="false">
      <c r="A39" s="97"/>
      <c r="B39" s="107"/>
      <c r="C39" s="104" t="s">
        <v>212</v>
      </c>
      <c r="D39" s="105"/>
      <c r="E39" s="103"/>
      <c r="F39" s="103"/>
      <c r="G39" s="103"/>
      <c r="H39" s="103"/>
      <c r="I39" s="103"/>
      <c r="J39" s="103"/>
      <c r="K39" s="103"/>
      <c r="L39" s="103"/>
      <c r="M39" s="103" t="n">
        <v>3</v>
      </c>
      <c r="N39" s="103"/>
      <c r="O39" s="103"/>
      <c r="P39" s="103"/>
      <c r="Q39" s="106"/>
      <c r="R39" s="103"/>
      <c r="S39" s="103"/>
      <c r="T39" s="103"/>
      <c r="U39" s="105" t="n">
        <f aca="false">SUM(C39:Q39)</f>
        <v>3</v>
      </c>
      <c r="V39" s="103" t="n">
        <v>2</v>
      </c>
      <c r="W39" s="103" t="n">
        <v>2.5</v>
      </c>
      <c r="X39" s="103" t="n">
        <v>0</v>
      </c>
      <c r="Y39" s="106" t="n">
        <f aca="false">SUM(U39:X39)</f>
        <v>7.5</v>
      </c>
      <c r="Z39" s="103"/>
      <c r="AA39" s="103"/>
      <c r="AH39" s="103"/>
    </row>
    <row r="40" customFormat="false" ht="15" hidden="false" customHeight="false" outlineLevel="0" collapsed="false">
      <c r="A40" s="97"/>
      <c r="B40" s="107"/>
      <c r="C40" s="104" t="s">
        <v>213</v>
      </c>
      <c r="D40" s="105"/>
      <c r="E40" s="103"/>
      <c r="F40" s="103"/>
      <c r="G40" s="103"/>
      <c r="H40" s="103"/>
      <c r="I40" s="103"/>
      <c r="J40" s="103"/>
      <c r="K40" s="103"/>
      <c r="L40" s="103"/>
      <c r="M40" s="103" t="n">
        <v>3</v>
      </c>
      <c r="O40" s="103"/>
      <c r="P40" s="103"/>
      <c r="Q40" s="106"/>
      <c r="R40" s="103"/>
      <c r="S40" s="103"/>
      <c r="T40" s="103"/>
      <c r="U40" s="105" t="n">
        <f aca="false">SUM(C40:Q40)</f>
        <v>3</v>
      </c>
      <c r="V40" s="103" t="n">
        <v>2</v>
      </c>
      <c r="W40" s="103" t="n">
        <v>2.5</v>
      </c>
      <c r="X40" s="103" t="n">
        <v>0</v>
      </c>
      <c r="Y40" s="106" t="n">
        <f aca="false">SUM(U40:X40)</f>
        <v>7.5</v>
      </c>
      <c r="Z40" s="103"/>
      <c r="AA40" s="103"/>
      <c r="AH40" s="103"/>
    </row>
    <row r="41" customFormat="false" ht="15" hidden="false" customHeight="false" outlineLevel="0" collapsed="false">
      <c r="A41" s="97"/>
      <c r="B41" s="107"/>
      <c r="C41" s="104" t="s">
        <v>214</v>
      </c>
      <c r="D41" s="105"/>
      <c r="E41" s="103"/>
      <c r="F41" s="103"/>
      <c r="G41" s="103"/>
      <c r="H41" s="103"/>
      <c r="I41" s="103"/>
      <c r="J41" s="103"/>
      <c r="K41" s="103"/>
      <c r="L41" s="103"/>
      <c r="M41" s="103" t="n">
        <v>3</v>
      </c>
      <c r="O41" s="103"/>
      <c r="P41" s="103"/>
      <c r="Q41" s="106"/>
      <c r="R41" s="103"/>
      <c r="S41" s="103"/>
      <c r="T41" s="103"/>
      <c r="U41" s="105" t="n">
        <f aca="false">SUM(C41:Q41)</f>
        <v>3</v>
      </c>
      <c r="V41" s="103" t="n">
        <v>2</v>
      </c>
      <c r="W41" s="103" t="n">
        <v>2.5</v>
      </c>
      <c r="X41" s="103" t="n">
        <v>0</v>
      </c>
      <c r="Y41" s="106" t="n">
        <f aca="false">SUM(U41:X41)</f>
        <v>7.5</v>
      </c>
      <c r="Z41" s="103"/>
      <c r="AA41" s="103"/>
      <c r="AB41" s="103"/>
      <c r="AC41" s="103"/>
      <c r="AD41" s="103"/>
      <c r="AE41" s="103"/>
      <c r="AF41" s="103"/>
      <c r="AG41" s="103"/>
      <c r="AH41" s="103"/>
    </row>
    <row r="42" customFormat="false" ht="15" hidden="false" customHeight="false" outlineLevel="0" collapsed="false">
      <c r="A42" s="97"/>
      <c r="B42" s="107" t="n">
        <v>11</v>
      </c>
      <c r="C42" s="104" t="s">
        <v>215</v>
      </c>
      <c r="D42" s="105"/>
      <c r="E42" s="103"/>
      <c r="F42" s="103"/>
      <c r="G42" s="103"/>
      <c r="H42" s="103"/>
      <c r="I42" s="103"/>
      <c r="J42" s="103"/>
      <c r="K42" s="103"/>
      <c r="L42" s="103"/>
      <c r="M42" s="103" t="n">
        <v>6</v>
      </c>
      <c r="O42" s="103"/>
      <c r="P42" s="103"/>
      <c r="Q42" s="106"/>
      <c r="R42" s="103" t="n">
        <v>2</v>
      </c>
      <c r="T42" s="103"/>
      <c r="U42" s="105" t="n">
        <f aca="false">SUM(C42:Q42)</f>
        <v>6</v>
      </c>
      <c r="V42" s="103" t="n">
        <v>2</v>
      </c>
      <c r="W42" s="103" t="n">
        <v>2.5</v>
      </c>
      <c r="X42" s="103" t="n">
        <v>0</v>
      </c>
      <c r="Y42" s="106" t="n">
        <f aca="false">SUM(U42:X42)</f>
        <v>10.5</v>
      </c>
      <c r="Z42" s="103"/>
      <c r="AA42" s="103"/>
      <c r="AB42" s="103"/>
      <c r="AC42" s="103"/>
      <c r="AD42" s="103"/>
      <c r="AE42" s="103"/>
      <c r="AF42" s="103"/>
      <c r="AG42" s="103"/>
      <c r="AH42" s="103"/>
    </row>
    <row r="43" customFormat="false" ht="15" hidden="false" customHeight="false" outlineLevel="0" collapsed="false">
      <c r="A43" s="97"/>
      <c r="B43" s="107"/>
      <c r="C43" s="104" t="s">
        <v>216</v>
      </c>
      <c r="D43" s="105"/>
      <c r="E43" s="103"/>
      <c r="F43" s="103"/>
      <c r="G43" s="103"/>
      <c r="H43" s="103"/>
      <c r="I43" s="103"/>
      <c r="J43" s="103"/>
      <c r="K43" s="103"/>
      <c r="L43" s="103"/>
      <c r="M43" s="103"/>
      <c r="N43" s="103" t="n">
        <v>3</v>
      </c>
      <c r="O43" s="103"/>
      <c r="P43" s="103"/>
      <c r="Q43" s="106"/>
      <c r="R43" s="103"/>
      <c r="S43" s="113" t="s">
        <v>180</v>
      </c>
      <c r="T43" s="103"/>
      <c r="U43" s="105" t="n">
        <f aca="false">SUM(C43:Q43)</f>
        <v>3</v>
      </c>
      <c r="V43" s="103" t="n">
        <v>2</v>
      </c>
      <c r="W43" s="103" t="n">
        <v>2.5</v>
      </c>
      <c r="X43" s="103" t="n">
        <v>0</v>
      </c>
      <c r="Y43" s="106" t="n">
        <f aca="false">SUM(U43:X43)</f>
        <v>7.5</v>
      </c>
      <c r="Z43" s="103"/>
      <c r="AA43" s="103"/>
      <c r="AB43" s="103"/>
      <c r="AC43" s="103"/>
      <c r="AD43" s="103"/>
      <c r="AE43" s="103"/>
      <c r="AF43" s="103"/>
      <c r="AG43" s="103"/>
      <c r="AH43" s="103"/>
    </row>
    <row r="44" customFormat="false" ht="15" hidden="false" customHeight="false" outlineLevel="0" collapsed="false">
      <c r="A44" s="97"/>
      <c r="B44" s="107"/>
      <c r="C44" s="104" t="s">
        <v>217</v>
      </c>
      <c r="D44" s="105"/>
      <c r="E44" s="103"/>
      <c r="F44" s="103"/>
      <c r="G44" s="103"/>
      <c r="H44" s="103"/>
      <c r="I44" s="103"/>
      <c r="J44" s="103"/>
      <c r="K44" s="103"/>
      <c r="L44" s="103"/>
      <c r="M44" s="103"/>
      <c r="N44" s="103" t="n">
        <v>3</v>
      </c>
      <c r="O44" s="103"/>
      <c r="P44" s="103"/>
      <c r="Q44" s="106"/>
      <c r="R44" s="103"/>
      <c r="T44" s="103"/>
      <c r="U44" s="105" t="n">
        <f aca="false">SUM(C44:Q44)</f>
        <v>3</v>
      </c>
      <c r="V44" s="103" t="n">
        <v>2</v>
      </c>
      <c r="W44" s="103" t="n">
        <v>2.5</v>
      </c>
      <c r="X44" s="103" t="n">
        <v>0</v>
      </c>
      <c r="Y44" s="106" t="n">
        <f aca="false">SUM(U44:X44)</f>
        <v>7.5</v>
      </c>
      <c r="Z44" s="103"/>
      <c r="AA44" s="103"/>
      <c r="AB44" s="103"/>
      <c r="AC44" s="103"/>
      <c r="AD44" s="103"/>
      <c r="AE44" s="103"/>
      <c r="AF44" s="103"/>
      <c r="AG44" s="103"/>
      <c r="AH44" s="103"/>
    </row>
    <row r="45" customFormat="false" ht="15" hidden="false" customHeight="false" outlineLevel="0" collapsed="false">
      <c r="A45" s="97"/>
      <c r="B45" s="107"/>
      <c r="C45" s="104" t="s">
        <v>218</v>
      </c>
      <c r="D45" s="105"/>
      <c r="E45" s="103"/>
      <c r="F45" s="103"/>
      <c r="G45" s="103"/>
      <c r="H45" s="103"/>
      <c r="I45" s="103"/>
      <c r="J45" s="103"/>
      <c r="K45" s="103"/>
      <c r="L45" s="103"/>
      <c r="M45" s="103"/>
      <c r="N45" s="103" t="n">
        <v>3</v>
      </c>
      <c r="P45" s="103"/>
      <c r="Q45" s="106"/>
      <c r="R45" s="103"/>
      <c r="S45" s="103"/>
      <c r="T45" s="103"/>
      <c r="U45" s="105" t="n">
        <f aca="false">SUM(C45:Q45)</f>
        <v>3</v>
      </c>
      <c r="V45" s="103" t="n">
        <v>2</v>
      </c>
      <c r="W45" s="103" t="n">
        <v>2.5</v>
      </c>
      <c r="X45" s="103" t="n">
        <v>0</v>
      </c>
      <c r="Y45" s="106" t="n">
        <f aca="false">SUM(U45:X45)</f>
        <v>7.5</v>
      </c>
      <c r="Z45" s="103"/>
      <c r="AA45" s="103"/>
      <c r="AB45" s="103"/>
      <c r="AC45" s="103"/>
      <c r="AD45" s="103"/>
      <c r="AE45" s="103"/>
      <c r="AF45" s="103"/>
      <c r="AG45" s="103"/>
      <c r="AH45" s="103"/>
    </row>
    <row r="46" customFormat="false" ht="15" hidden="false" customHeight="false" outlineLevel="0" collapsed="false">
      <c r="A46" s="97"/>
      <c r="B46" s="107" t="n">
        <v>12</v>
      </c>
      <c r="C46" s="104" t="s">
        <v>219</v>
      </c>
      <c r="D46" s="105"/>
      <c r="E46" s="103"/>
      <c r="F46" s="103"/>
      <c r="G46" s="103"/>
      <c r="H46" s="103"/>
      <c r="I46" s="103"/>
      <c r="J46" s="103"/>
      <c r="K46" s="103"/>
      <c r="L46" s="103"/>
      <c r="M46" s="103"/>
      <c r="N46" s="103" t="n">
        <v>3</v>
      </c>
      <c r="P46" s="103"/>
      <c r="Q46" s="106"/>
      <c r="R46" s="103" t="n">
        <v>2</v>
      </c>
      <c r="S46" s="103"/>
      <c r="T46" s="103"/>
      <c r="U46" s="105" t="n">
        <f aca="false">SUM(C46:Q46)</f>
        <v>3</v>
      </c>
      <c r="V46" s="103" t="n">
        <v>2</v>
      </c>
      <c r="W46" s="103" t="n">
        <v>2.5</v>
      </c>
      <c r="X46" s="103" t="n">
        <v>2</v>
      </c>
      <c r="Y46" s="106" t="n">
        <f aca="false">SUM(U46:X46)</f>
        <v>9.5</v>
      </c>
      <c r="Z46" s="103"/>
      <c r="AA46" s="103"/>
      <c r="AB46" s="103"/>
      <c r="AC46" s="103"/>
      <c r="AD46" s="103"/>
      <c r="AE46" s="103"/>
      <c r="AF46" s="103"/>
      <c r="AG46" s="103"/>
      <c r="AH46" s="103"/>
    </row>
    <row r="47" customFormat="false" ht="15" hidden="false" customHeight="false" outlineLevel="0" collapsed="false">
      <c r="A47" s="97"/>
      <c r="B47" s="107"/>
      <c r="C47" s="104" t="s">
        <v>220</v>
      </c>
      <c r="D47" s="105"/>
      <c r="E47" s="103"/>
      <c r="F47" s="103"/>
      <c r="G47" s="103"/>
      <c r="H47" s="103"/>
      <c r="I47" s="103"/>
      <c r="J47" s="103"/>
      <c r="K47" s="103"/>
      <c r="L47" s="103"/>
      <c r="M47" s="103"/>
      <c r="N47" s="103" t="n">
        <v>3</v>
      </c>
      <c r="P47" s="103"/>
      <c r="Q47" s="106"/>
      <c r="R47" s="103"/>
      <c r="S47" s="103"/>
      <c r="T47" s="103"/>
      <c r="U47" s="105" t="n">
        <f aca="false">SUM(C47:Q47)</f>
        <v>3</v>
      </c>
      <c r="V47" s="103" t="n">
        <v>2</v>
      </c>
      <c r="W47" s="103" t="n">
        <v>2.5</v>
      </c>
      <c r="X47" s="103" t="n">
        <v>0</v>
      </c>
      <c r="Y47" s="106" t="n">
        <f aca="false">SUM(U47:X47)</f>
        <v>7.5</v>
      </c>
      <c r="Z47" s="103"/>
      <c r="AA47" s="103"/>
      <c r="AB47" s="103"/>
      <c r="AC47" s="103"/>
      <c r="AD47" s="103"/>
      <c r="AE47" s="103"/>
      <c r="AF47" s="103"/>
      <c r="AG47" s="103"/>
      <c r="AH47" s="103"/>
    </row>
    <row r="48" customFormat="false" ht="15" hidden="false" customHeight="false" outlineLevel="0" collapsed="false">
      <c r="A48" s="97"/>
      <c r="B48" s="107"/>
      <c r="C48" s="104" t="s">
        <v>221</v>
      </c>
      <c r="D48" s="105"/>
      <c r="E48" s="103"/>
      <c r="F48" s="103"/>
      <c r="G48" s="103"/>
      <c r="H48" s="103"/>
      <c r="I48" s="103"/>
      <c r="J48" s="103"/>
      <c r="K48" s="103"/>
      <c r="L48" s="103"/>
      <c r="M48" s="103"/>
      <c r="N48" s="110" t="n">
        <v>3</v>
      </c>
      <c r="P48" s="103"/>
      <c r="Q48" s="106"/>
      <c r="R48" s="103"/>
      <c r="S48" s="103"/>
      <c r="T48" s="103"/>
      <c r="U48" s="105" t="n">
        <f aca="false">SUM(C48:Q48)</f>
        <v>3</v>
      </c>
      <c r="V48" s="103" t="n">
        <v>2</v>
      </c>
      <c r="W48" s="103" t="n">
        <v>2.5</v>
      </c>
      <c r="X48" s="103" t="n">
        <v>2</v>
      </c>
      <c r="Y48" s="106" t="n">
        <f aca="false">SUM(U48:X48)</f>
        <v>9.5</v>
      </c>
      <c r="Z48" s="103" t="s">
        <v>199</v>
      </c>
      <c r="AA48" s="103"/>
      <c r="AB48" s="103"/>
      <c r="AC48" s="103"/>
      <c r="AD48" s="103"/>
      <c r="AE48" s="103"/>
      <c r="AF48" s="103"/>
      <c r="AG48" s="103"/>
      <c r="AH48" s="103"/>
    </row>
    <row r="49" customFormat="false" ht="15" hidden="false" customHeight="false" outlineLevel="0" collapsed="false">
      <c r="A49" s="97"/>
      <c r="B49" s="107"/>
      <c r="C49" s="104" t="s">
        <v>222</v>
      </c>
      <c r="D49" s="105"/>
      <c r="E49" s="103"/>
      <c r="F49" s="103"/>
      <c r="G49" s="103"/>
      <c r="H49" s="103"/>
      <c r="I49" s="103"/>
      <c r="J49" s="103"/>
      <c r="K49" s="103"/>
      <c r="L49" s="103"/>
      <c r="M49" s="103"/>
      <c r="N49" s="110"/>
      <c r="O49" s="103" t="n">
        <v>3</v>
      </c>
      <c r="P49" s="103"/>
      <c r="Q49" s="106"/>
      <c r="R49" s="103"/>
      <c r="T49" s="103"/>
      <c r="U49" s="105" t="n">
        <f aca="false">SUM(C49:Q49)</f>
        <v>3</v>
      </c>
      <c r="V49" s="103" t="n">
        <v>2</v>
      </c>
      <c r="W49" s="103" t="n">
        <v>2.5</v>
      </c>
      <c r="X49" s="103" t="n">
        <v>0</v>
      </c>
      <c r="Y49" s="106" t="n">
        <f aca="false">SUM(U49:X49)</f>
        <v>7.5</v>
      </c>
      <c r="Z49" s="103"/>
      <c r="AA49" s="103"/>
      <c r="AB49" s="103"/>
      <c r="AC49" s="103"/>
      <c r="AD49" s="103"/>
      <c r="AE49" s="103"/>
      <c r="AF49" s="103"/>
      <c r="AG49" s="103"/>
      <c r="AH49" s="103"/>
    </row>
    <row r="50" customFormat="false" ht="15" hidden="false" customHeight="false" outlineLevel="0" collapsed="false">
      <c r="A50" s="97"/>
      <c r="B50" s="107" t="n">
        <v>13</v>
      </c>
      <c r="C50" s="104" t="s">
        <v>223</v>
      </c>
      <c r="D50" s="105"/>
      <c r="E50" s="103"/>
      <c r="F50" s="103"/>
      <c r="G50" s="103"/>
      <c r="H50" s="103"/>
      <c r="I50" s="103"/>
      <c r="J50" s="103"/>
      <c r="K50" s="103"/>
      <c r="L50" s="103"/>
      <c r="M50" s="103"/>
      <c r="N50" s="103"/>
      <c r="O50" s="103" t="n">
        <v>3</v>
      </c>
      <c r="Q50" s="106"/>
      <c r="R50" s="103" t="n">
        <v>2</v>
      </c>
      <c r="S50" s="103"/>
      <c r="T50" s="103"/>
      <c r="U50" s="105" t="n">
        <f aca="false">SUM(C50:Q50)</f>
        <v>3</v>
      </c>
      <c r="V50" s="103" t="n">
        <v>2</v>
      </c>
      <c r="W50" s="103" t="n">
        <v>2.5</v>
      </c>
      <c r="X50" s="103" t="n">
        <v>0</v>
      </c>
      <c r="Y50" s="106" t="n">
        <f aca="false">SUM(U50:X50)</f>
        <v>7.5</v>
      </c>
      <c r="Z50" s="103"/>
      <c r="AA50" s="103"/>
      <c r="AB50" s="103"/>
      <c r="AC50" s="103"/>
      <c r="AD50" s="103"/>
      <c r="AE50" s="103"/>
      <c r="AF50" s="103"/>
      <c r="AG50" s="103"/>
      <c r="AH50" s="103"/>
    </row>
    <row r="51" customFormat="false" ht="15" hidden="false" customHeight="false" outlineLevel="0" collapsed="false">
      <c r="A51" s="97"/>
      <c r="B51" s="107"/>
      <c r="C51" s="104" t="s">
        <v>224</v>
      </c>
      <c r="D51" s="105"/>
      <c r="E51" s="103"/>
      <c r="F51" s="103"/>
      <c r="G51" s="103"/>
      <c r="H51" s="103"/>
      <c r="I51" s="103"/>
      <c r="J51" s="103"/>
      <c r="K51" s="103"/>
      <c r="L51" s="103"/>
      <c r="M51" s="103"/>
      <c r="N51" s="103"/>
      <c r="O51" s="103" t="n">
        <v>3</v>
      </c>
      <c r="Q51" s="106"/>
      <c r="R51" s="103"/>
      <c r="S51" s="103"/>
      <c r="T51" s="103"/>
      <c r="U51" s="105" t="n">
        <f aca="false">SUM(C51:Q51)</f>
        <v>3</v>
      </c>
      <c r="V51" s="103" t="n">
        <v>2</v>
      </c>
      <c r="W51" s="103" t="n">
        <v>2.5</v>
      </c>
      <c r="X51" s="103" t="n">
        <v>0</v>
      </c>
      <c r="Y51" s="106" t="n">
        <f aca="false">SUM(U51:X51)</f>
        <v>7.5</v>
      </c>
      <c r="Z51" s="103"/>
      <c r="AA51" s="103"/>
      <c r="AB51" s="103"/>
      <c r="AC51" s="103"/>
      <c r="AD51" s="103"/>
      <c r="AE51" s="103"/>
      <c r="AF51" s="103"/>
      <c r="AG51" s="103"/>
      <c r="AH51" s="103"/>
    </row>
    <row r="52" customFormat="false" ht="15" hidden="false" customHeight="false" outlineLevel="0" collapsed="false">
      <c r="A52" s="97"/>
      <c r="B52" s="107"/>
      <c r="C52" s="104" t="s">
        <v>225</v>
      </c>
      <c r="D52" s="105"/>
      <c r="E52" s="103"/>
      <c r="F52" s="103"/>
      <c r="G52" s="103"/>
      <c r="H52" s="103"/>
      <c r="I52" s="103"/>
      <c r="J52" s="103"/>
      <c r="K52" s="103"/>
      <c r="L52" s="103"/>
      <c r="M52" s="103"/>
      <c r="N52" s="103"/>
      <c r="O52" s="103" t="n">
        <v>3</v>
      </c>
      <c r="Q52" s="106"/>
      <c r="R52" s="103"/>
      <c r="T52" s="103"/>
      <c r="U52" s="105" t="n">
        <f aca="false">SUM(C52:Q52)</f>
        <v>3</v>
      </c>
      <c r="V52" s="103" t="n">
        <v>2</v>
      </c>
      <c r="W52" s="103" t="n">
        <v>2.5</v>
      </c>
      <c r="X52" s="103" t="n">
        <v>2</v>
      </c>
      <c r="Y52" s="106" t="n">
        <f aca="false">SUM(U52:X52)</f>
        <v>9.5</v>
      </c>
      <c r="Z52" s="103"/>
      <c r="AA52" s="103"/>
      <c r="AB52" s="103"/>
      <c r="AC52" s="103"/>
      <c r="AD52" s="103"/>
      <c r="AE52" s="103"/>
      <c r="AF52" s="103"/>
      <c r="AG52" s="103"/>
      <c r="AH52" s="103"/>
    </row>
    <row r="53" customFormat="false" ht="15" hidden="false" customHeight="false" outlineLevel="0" collapsed="false">
      <c r="A53" s="97"/>
      <c r="B53" s="107"/>
      <c r="C53" s="104" t="s">
        <v>226</v>
      </c>
      <c r="D53" s="105"/>
      <c r="E53" s="103"/>
      <c r="F53" s="103"/>
      <c r="G53" s="103"/>
      <c r="H53" s="103"/>
      <c r="I53" s="103"/>
      <c r="J53" s="103"/>
      <c r="K53" s="103"/>
      <c r="L53" s="103"/>
      <c r="M53" s="103"/>
      <c r="N53" s="103"/>
      <c r="O53" s="103" t="n">
        <v>3</v>
      </c>
      <c r="Q53" s="106"/>
      <c r="R53" s="103"/>
      <c r="S53" s="113"/>
      <c r="T53" s="103"/>
      <c r="U53" s="105" t="n">
        <f aca="false">SUM(C53:Q53)</f>
        <v>3</v>
      </c>
      <c r="V53" s="103" t="n">
        <v>2</v>
      </c>
      <c r="W53" s="103" t="n">
        <v>2.5</v>
      </c>
      <c r="X53" s="103" t="n">
        <v>0</v>
      </c>
      <c r="Y53" s="106" t="n">
        <f aca="false">SUM(U53:X53)</f>
        <v>7.5</v>
      </c>
      <c r="Z53" s="103"/>
      <c r="AA53" s="103"/>
      <c r="AB53" s="103"/>
      <c r="AC53" s="103"/>
      <c r="AD53" s="103"/>
      <c r="AE53" s="103"/>
      <c r="AF53" s="103"/>
      <c r="AG53" s="103"/>
      <c r="AH53" s="103"/>
    </row>
    <row r="54" customFormat="false" ht="15" hidden="false" customHeight="true" outlineLevel="0" collapsed="false">
      <c r="A54" s="97"/>
      <c r="B54" s="107" t="n">
        <v>14</v>
      </c>
      <c r="C54" s="104" t="s">
        <v>227</v>
      </c>
      <c r="D54" s="105"/>
      <c r="E54" s="103"/>
      <c r="F54" s="103"/>
      <c r="G54" s="103"/>
      <c r="H54" s="103"/>
      <c r="I54" s="103"/>
      <c r="J54" s="103"/>
      <c r="K54" s="103"/>
      <c r="L54" s="103"/>
      <c r="M54" s="103"/>
      <c r="N54" s="103"/>
      <c r="O54" s="103"/>
      <c r="P54" s="103" t="n">
        <v>3</v>
      </c>
      <c r="Q54" s="106"/>
      <c r="R54" s="103" t="n">
        <v>2</v>
      </c>
      <c r="T54" s="103"/>
      <c r="U54" s="105" t="n">
        <f aca="false">SUM(C54:Q54)</f>
        <v>3</v>
      </c>
      <c r="V54" s="103" t="n">
        <v>2</v>
      </c>
      <c r="W54" s="103" t="n">
        <v>2.5</v>
      </c>
      <c r="X54" s="103" t="n">
        <v>0</v>
      </c>
      <c r="Y54" s="106" t="n">
        <f aca="false">SUM(U54:X54)</f>
        <v>7.5</v>
      </c>
      <c r="Z54" s="103"/>
      <c r="AA54" s="103"/>
      <c r="AB54" s="103"/>
      <c r="AC54" s="103"/>
      <c r="AD54" s="103"/>
      <c r="AE54" s="103"/>
      <c r="AF54" s="103"/>
      <c r="AG54" s="103"/>
      <c r="AH54" s="103"/>
    </row>
    <row r="55" customFormat="false" ht="15" hidden="false" customHeight="false" outlineLevel="0" collapsed="false">
      <c r="A55" s="97"/>
      <c r="B55" s="107"/>
      <c r="C55" s="104" t="s">
        <v>228</v>
      </c>
      <c r="D55" s="105"/>
      <c r="E55" s="103"/>
      <c r="F55" s="103"/>
      <c r="G55" s="103"/>
      <c r="H55" s="103"/>
      <c r="I55" s="103"/>
      <c r="J55" s="103"/>
      <c r="K55" s="103"/>
      <c r="L55" s="103"/>
      <c r="M55" s="103"/>
      <c r="N55" s="103"/>
      <c r="O55" s="103"/>
      <c r="P55" s="103" t="n">
        <v>3</v>
      </c>
      <c r="Q55" s="126"/>
      <c r="R55" s="103"/>
      <c r="S55" s="103"/>
      <c r="T55" s="103"/>
      <c r="U55" s="105" t="n">
        <f aca="false">SUM(C55:Q55)</f>
        <v>3</v>
      </c>
      <c r="V55" s="103" t="n">
        <v>2</v>
      </c>
      <c r="W55" s="103" t="n">
        <v>2.5</v>
      </c>
      <c r="X55" s="103" t="n">
        <v>0</v>
      </c>
      <c r="Y55" s="106" t="n">
        <f aca="false">SUM(U55:X55)</f>
        <v>7.5</v>
      </c>
      <c r="Z55" s="103"/>
      <c r="AA55" s="103"/>
      <c r="AB55" s="103"/>
      <c r="AC55" s="103"/>
      <c r="AD55" s="103"/>
      <c r="AE55" s="103"/>
      <c r="AF55" s="103"/>
      <c r="AG55" s="103"/>
      <c r="AH55" s="103"/>
    </row>
    <row r="56" customFormat="false" ht="15" hidden="false" customHeight="false" outlineLevel="0" collapsed="false">
      <c r="A56" s="97"/>
      <c r="B56" s="107"/>
      <c r="C56" s="104" t="s">
        <v>229</v>
      </c>
      <c r="D56" s="105"/>
      <c r="E56" s="103"/>
      <c r="F56" s="103"/>
      <c r="G56" s="103"/>
      <c r="H56" s="103"/>
      <c r="I56" s="103"/>
      <c r="J56" s="103"/>
      <c r="K56" s="103"/>
      <c r="L56" s="103"/>
      <c r="M56" s="103"/>
      <c r="N56" s="103"/>
      <c r="O56" s="103"/>
      <c r="P56" s="103" t="n">
        <v>3</v>
      </c>
      <c r="Q56" s="126"/>
      <c r="R56" s="103"/>
      <c r="T56" s="103"/>
      <c r="U56" s="105" t="n">
        <f aca="false">SUM(C56:Q56)</f>
        <v>3</v>
      </c>
      <c r="V56" s="103" t="n">
        <v>2</v>
      </c>
      <c r="W56" s="103" t="n">
        <v>2.5</v>
      </c>
      <c r="X56" s="103" t="n">
        <v>0</v>
      </c>
      <c r="Y56" s="106" t="n">
        <f aca="false">SUM(U56:X56)</f>
        <v>7.5</v>
      </c>
      <c r="Z56" s="103"/>
      <c r="AA56" s="103"/>
      <c r="AB56" s="103"/>
      <c r="AC56" s="103"/>
      <c r="AD56" s="103"/>
      <c r="AE56" s="103"/>
      <c r="AF56" s="103"/>
      <c r="AG56" s="103"/>
      <c r="AH56" s="103"/>
    </row>
    <row r="57" customFormat="false" ht="15" hidden="false" customHeight="false" outlineLevel="0" collapsed="false">
      <c r="A57" s="97"/>
      <c r="B57" s="107"/>
      <c r="C57" s="104" t="s">
        <v>230</v>
      </c>
      <c r="D57" s="105"/>
      <c r="E57" s="103"/>
      <c r="F57" s="103"/>
      <c r="G57" s="103"/>
      <c r="H57" s="103"/>
      <c r="I57" s="103"/>
      <c r="J57" s="103"/>
      <c r="K57" s="103"/>
      <c r="L57" s="103"/>
      <c r="M57" s="103"/>
      <c r="N57" s="103"/>
      <c r="O57" s="103"/>
      <c r="P57" s="103" t="n">
        <v>3</v>
      </c>
      <c r="Q57" s="126"/>
      <c r="R57" s="103"/>
      <c r="S57" s="103"/>
      <c r="T57" s="103"/>
      <c r="U57" s="105" t="n">
        <f aca="false">SUM(C57:Q57)</f>
        <v>3</v>
      </c>
      <c r="V57" s="103" t="n">
        <v>2</v>
      </c>
      <c r="W57" s="103" t="n">
        <v>2.5</v>
      </c>
      <c r="X57" s="103" t="n">
        <v>0</v>
      </c>
      <c r="Y57" s="106" t="n">
        <f aca="false">SUM(U57:X57)</f>
        <v>7.5</v>
      </c>
      <c r="Z57" s="103"/>
      <c r="AA57" s="103"/>
      <c r="AB57" s="103"/>
      <c r="AC57" s="103"/>
      <c r="AD57" s="103"/>
      <c r="AE57" s="103"/>
      <c r="AF57" s="103"/>
      <c r="AG57" s="103"/>
      <c r="AH57" s="103"/>
    </row>
    <row r="58" customFormat="false" ht="15" hidden="false" customHeight="false" outlineLevel="0" collapsed="false">
      <c r="A58" s="97"/>
      <c r="B58" s="127" t="n">
        <v>15</v>
      </c>
      <c r="C58" s="104" t="s">
        <v>231</v>
      </c>
      <c r="D58" s="105"/>
      <c r="E58" s="103"/>
      <c r="F58" s="103"/>
      <c r="G58" s="103"/>
      <c r="H58" s="103"/>
      <c r="I58" s="103"/>
      <c r="J58" s="103"/>
      <c r="K58" s="103"/>
      <c r="L58" s="103"/>
      <c r="M58" s="103"/>
      <c r="N58" s="103"/>
      <c r="O58" s="103"/>
      <c r="P58" s="103" t="n">
        <v>3</v>
      </c>
      <c r="Q58" s="126"/>
      <c r="R58" s="103" t="n">
        <v>2</v>
      </c>
      <c r="S58" s="103"/>
      <c r="T58" s="103"/>
      <c r="U58" s="105" t="n">
        <f aca="false">SUM(C58:Q58)</f>
        <v>3</v>
      </c>
      <c r="V58" s="103" t="n">
        <v>2</v>
      </c>
      <c r="W58" s="103" t="n">
        <v>2.5</v>
      </c>
      <c r="X58" s="103" t="n">
        <v>2</v>
      </c>
      <c r="Y58" s="106" t="n">
        <f aca="false">SUM(U58:X58)</f>
        <v>9.5</v>
      </c>
      <c r="Z58" s="103"/>
      <c r="AA58" s="103"/>
      <c r="AB58" s="103"/>
      <c r="AC58" s="103"/>
      <c r="AD58" s="103"/>
      <c r="AE58" s="103"/>
      <c r="AF58" s="103"/>
      <c r="AG58" s="103"/>
      <c r="AH58" s="103"/>
    </row>
    <row r="59" customFormat="false" ht="15" hidden="false" customHeight="false" outlineLevel="0" collapsed="false">
      <c r="A59" s="97"/>
      <c r="B59" s="127"/>
      <c r="C59" s="104" t="s">
        <v>232</v>
      </c>
      <c r="D59" s="105"/>
      <c r="E59" s="103"/>
      <c r="F59" s="103"/>
      <c r="G59" s="103"/>
      <c r="H59" s="103"/>
      <c r="I59" s="103"/>
      <c r="J59" s="103"/>
      <c r="K59" s="103"/>
      <c r="L59" s="103"/>
      <c r="M59" s="103"/>
      <c r="N59" s="103"/>
      <c r="O59" s="103"/>
      <c r="P59" s="103"/>
      <c r="Q59" s="106" t="n">
        <v>3</v>
      </c>
      <c r="R59" s="103"/>
      <c r="S59" s="103"/>
      <c r="T59" s="103"/>
      <c r="U59" s="105" t="n">
        <f aca="false">SUM(C59:Q59)</f>
        <v>3</v>
      </c>
      <c r="V59" s="103" t="n">
        <v>2</v>
      </c>
      <c r="W59" s="103" t="n">
        <v>2.5</v>
      </c>
      <c r="X59" s="103" t="n">
        <v>0</v>
      </c>
      <c r="Y59" s="106" t="n">
        <f aca="false">SUM(U59:X59)</f>
        <v>7.5</v>
      </c>
      <c r="Z59" s="103"/>
      <c r="AA59" s="103"/>
      <c r="AB59" s="103"/>
      <c r="AC59" s="103"/>
      <c r="AD59" s="103"/>
      <c r="AE59" s="103"/>
      <c r="AF59" s="103"/>
      <c r="AG59" s="103"/>
      <c r="AH59" s="103"/>
    </row>
    <row r="60" customFormat="false" ht="15" hidden="false" customHeight="false" outlineLevel="0" collapsed="false">
      <c r="A60" s="97"/>
      <c r="B60" s="127"/>
      <c r="C60" s="104" t="s">
        <v>233</v>
      </c>
      <c r="D60" s="105"/>
      <c r="E60" s="103"/>
      <c r="F60" s="103"/>
      <c r="G60" s="103"/>
      <c r="H60" s="103"/>
      <c r="I60" s="103"/>
      <c r="J60" s="103"/>
      <c r="K60" s="103"/>
      <c r="L60" s="103"/>
      <c r="M60" s="103"/>
      <c r="N60" s="103"/>
      <c r="O60" s="103"/>
      <c r="P60" s="103"/>
      <c r="Q60" s="106" t="n">
        <v>3</v>
      </c>
      <c r="R60" s="103"/>
      <c r="S60" s="103"/>
      <c r="T60" s="103"/>
      <c r="U60" s="105" t="n">
        <f aca="false">SUM(C60:Q60)</f>
        <v>3</v>
      </c>
      <c r="V60" s="103" t="n">
        <v>2</v>
      </c>
      <c r="W60" s="103" t="n">
        <v>2.5</v>
      </c>
      <c r="X60" s="103" t="n">
        <v>0</v>
      </c>
      <c r="Y60" s="106" t="n">
        <f aca="false">SUM(U60:X60)</f>
        <v>7.5</v>
      </c>
      <c r="Z60" s="103"/>
      <c r="AA60" s="103"/>
      <c r="AB60" s="103"/>
      <c r="AC60" s="103"/>
      <c r="AD60" s="103"/>
      <c r="AE60" s="103"/>
      <c r="AF60" s="103"/>
      <c r="AG60" s="103"/>
      <c r="AH60" s="103"/>
    </row>
    <row r="61" customFormat="false" ht="15" hidden="false" customHeight="false" outlineLevel="0" collapsed="false">
      <c r="A61" s="97"/>
      <c r="B61" s="127"/>
      <c r="C61" s="128" t="s">
        <v>234</v>
      </c>
      <c r="D61" s="129"/>
      <c r="E61" s="130"/>
      <c r="F61" s="130"/>
      <c r="G61" s="130"/>
      <c r="H61" s="130"/>
      <c r="I61" s="130"/>
      <c r="J61" s="130"/>
      <c r="K61" s="130"/>
      <c r="L61" s="130"/>
      <c r="M61" s="130"/>
      <c r="N61" s="130"/>
      <c r="O61" s="130"/>
      <c r="P61" s="130"/>
      <c r="Q61" s="131" t="n">
        <v>3</v>
      </c>
      <c r="R61" s="130"/>
      <c r="S61" s="130"/>
      <c r="T61" s="130"/>
      <c r="U61" s="129" t="n">
        <f aca="false">SUM(C61:Q61)</f>
        <v>3</v>
      </c>
      <c r="V61" s="130" t="n">
        <v>2</v>
      </c>
      <c r="W61" s="130" t="n">
        <v>2.5</v>
      </c>
      <c r="X61" s="130" t="n">
        <v>2</v>
      </c>
      <c r="Y61" s="131" t="n">
        <f aca="false">SUM(U61:X61)</f>
        <v>9.5</v>
      </c>
      <c r="Z61" s="103"/>
      <c r="AA61" s="103"/>
      <c r="AB61" s="103"/>
      <c r="AC61" s="103"/>
      <c r="AD61" s="103"/>
      <c r="AE61" s="103"/>
      <c r="AF61" s="103"/>
      <c r="AG61" s="103"/>
      <c r="AH61" s="103"/>
    </row>
    <row r="62" customFormat="false" ht="15" hidden="false" customHeight="false" outlineLevel="0" collapsed="false">
      <c r="A62" s="97" t="s">
        <v>153</v>
      </c>
      <c r="B62" s="132" t="n">
        <v>16</v>
      </c>
      <c r="C62" s="104" t="s">
        <v>235</v>
      </c>
      <c r="D62" s="105"/>
      <c r="E62" s="103"/>
      <c r="F62" s="103"/>
      <c r="G62" s="103"/>
      <c r="H62" s="103"/>
      <c r="I62" s="103"/>
      <c r="J62" s="103"/>
      <c r="K62" s="103"/>
      <c r="L62" s="103"/>
      <c r="M62" s="103"/>
      <c r="N62" s="103"/>
      <c r="O62" s="103"/>
      <c r="P62" s="103"/>
      <c r="Q62" s="103"/>
      <c r="R62" s="103"/>
      <c r="S62" s="103"/>
      <c r="T62" s="103" t="s">
        <v>153</v>
      </c>
      <c r="U62" s="103" t="n">
        <v>0</v>
      </c>
      <c r="V62" s="103" t="n">
        <v>0</v>
      </c>
      <c r="W62" s="103" t="n">
        <v>0</v>
      </c>
      <c r="X62" s="103" t="n">
        <v>0</v>
      </c>
      <c r="Y62" s="106" t="n">
        <f aca="false">SUM(U62:X62)</f>
        <v>0</v>
      </c>
      <c r="Z62" s="103"/>
      <c r="AA62" s="103"/>
      <c r="AB62" s="103"/>
      <c r="AC62" s="103"/>
      <c r="AD62" s="103"/>
      <c r="AE62" s="103"/>
      <c r="AF62" s="103"/>
      <c r="AG62" s="103"/>
      <c r="AH62" s="103"/>
    </row>
    <row r="63" customFormat="false" ht="15" hidden="false" customHeight="false" outlineLevel="0" collapsed="false">
      <c r="A63" s="97"/>
      <c r="B63" s="132"/>
      <c r="C63" s="104" t="s">
        <v>236</v>
      </c>
      <c r="D63" s="105"/>
      <c r="E63" s="103"/>
      <c r="F63" s="103"/>
      <c r="G63" s="103"/>
      <c r="H63" s="103"/>
      <c r="I63" s="103"/>
      <c r="J63" s="103"/>
      <c r="K63" s="103"/>
      <c r="L63" s="103"/>
      <c r="M63" s="103"/>
      <c r="N63" s="103"/>
      <c r="O63" s="103"/>
      <c r="P63" s="103"/>
      <c r="Q63" s="103"/>
      <c r="R63" s="103"/>
      <c r="S63" s="103"/>
      <c r="T63" s="103" t="s">
        <v>153</v>
      </c>
      <c r="U63" s="103" t="n">
        <v>0</v>
      </c>
      <c r="V63" s="103" t="n">
        <v>0</v>
      </c>
      <c r="W63" s="103" t="n">
        <v>0</v>
      </c>
      <c r="X63" s="103" t="n">
        <v>0</v>
      </c>
      <c r="Y63" s="106" t="n">
        <f aca="false">SUM(U63:X63)</f>
        <v>0</v>
      </c>
      <c r="Z63" s="103"/>
      <c r="AA63" s="103"/>
      <c r="AB63" s="103"/>
      <c r="AC63" s="103"/>
      <c r="AD63" s="103"/>
      <c r="AE63" s="103"/>
      <c r="AF63" s="103"/>
      <c r="AG63" s="103"/>
      <c r="AH63" s="103"/>
    </row>
    <row r="64" customFormat="false" ht="15" hidden="false" customHeight="false" outlineLevel="0" collapsed="false">
      <c r="A64" s="97"/>
      <c r="B64" s="132"/>
      <c r="C64" s="104" t="s">
        <v>237</v>
      </c>
      <c r="D64" s="105"/>
      <c r="E64" s="103"/>
      <c r="F64" s="103"/>
      <c r="G64" s="103"/>
      <c r="H64" s="103"/>
      <c r="I64" s="103"/>
      <c r="J64" s="103"/>
      <c r="K64" s="103"/>
      <c r="L64" s="103"/>
      <c r="M64" s="103"/>
      <c r="N64" s="103"/>
      <c r="O64" s="103"/>
      <c r="P64" s="103"/>
      <c r="Q64" s="103"/>
      <c r="R64" s="103"/>
      <c r="S64" s="103"/>
      <c r="T64" s="103" t="s">
        <v>153</v>
      </c>
      <c r="U64" s="103" t="n">
        <v>0</v>
      </c>
      <c r="V64" s="103" t="n">
        <v>0</v>
      </c>
      <c r="W64" s="103" t="n">
        <v>0</v>
      </c>
      <c r="X64" s="103" t="n">
        <v>0</v>
      </c>
      <c r="Y64" s="106" t="n">
        <f aca="false">SUM(U64:X64)</f>
        <v>0</v>
      </c>
      <c r="Z64" s="103"/>
      <c r="AA64" s="103"/>
      <c r="AB64" s="103"/>
      <c r="AC64" s="103"/>
      <c r="AD64" s="103"/>
      <c r="AE64" s="103"/>
      <c r="AF64" s="103"/>
      <c r="AG64" s="103"/>
      <c r="AH64" s="103"/>
    </row>
    <row r="65" customFormat="false" ht="15" hidden="false" customHeight="false" outlineLevel="0" collapsed="false">
      <c r="A65" s="97"/>
      <c r="B65" s="132"/>
      <c r="C65" s="104" t="s">
        <v>238</v>
      </c>
      <c r="D65" s="105"/>
      <c r="E65" s="103"/>
      <c r="F65" s="103"/>
      <c r="G65" s="103"/>
      <c r="H65" s="103"/>
      <c r="I65" s="103"/>
      <c r="J65" s="103"/>
      <c r="K65" s="103"/>
      <c r="L65" s="103"/>
      <c r="M65" s="103"/>
      <c r="N65" s="103"/>
      <c r="O65" s="103"/>
      <c r="P65" s="103"/>
      <c r="Q65" s="103"/>
      <c r="R65" s="103"/>
      <c r="S65" s="103"/>
      <c r="T65" s="103" t="s">
        <v>153</v>
      </c>
      <c r="U65" s="103" t="n">
        <v>0</v>
      </c>
      <c r="V65" s="103" t="n">
        <v>0</v>
      </c>
      <c r="W65" s="103" t="n">
        <v>0</v>
      </c>
      <c r="X65" s="103" t="n">
        <v>0</v>
      </c>
      <c r="Y65" s="106" t="n">
        <f aca="false">SUM(U65:X65)</f>
        <v>0</v>
      </c>
      <c r="Z65" s="103"/>
      <c r="AA65" s="103"/>
      <c r="AB65" s="103"/>
      <c r="AC65" s="103"/>
      <c r="AD65" s="103"/>
      <c r="AE65" s="103"/>
      <c r="AF65" s="103"/>
      <c r="AG65" s="103"/>
      <c r="AH65" s="103"/>
    </row>
    <row r="66" customFormat="false" ht="15" hidden="false" customHeight="false" outlineLevel="0" collapsed="false">
      <c r="A66" s="97"/>
      <c r="B66" s="107" t="n">
        <v>17</v>
      </c>
      <c r="C66" s="104" t="s">
        <v>239</v>
      </c>
      <c r="D66" s="105"/>
      <c r="E66" s="103"/>
      <c r="F66" s="103"/>
      <c r="G66" s="103"/>
      <c r="H66" s="103"/>
      <c r="I66" s="103"/>
      <c r="J66" s="103"/>
      <c r="K66" s="103"/>
      <c r="L66" s="103"/>
      <c r="M66" s="103"/>
      <c r="N66" s="103"/>
      <c r="O66" s="103"/>
      <c r="P66" s="103"/>
      <c r="Q66" s="103"/>
      <c r="R66" s="103"/>
      <c r="S66" s="103"/>
      <c r="T66" s="103" t="s">
        <v>153</v>
      </c>
      <c r="U66" s="103" t="n">
        <v>0</v>
      </c>
      <c r="V66" s="103" t="n">
        <v>0</v>
      </c>
      <c r="W66" s="103" t="n">
        <v>0</v>
      </c>
      <c r="X66" s="103" t="n">
        <v>0</v>
      </c>
      <c r="Y66" s="106" t="n">
        <f aca="false">SUM(U66:X66)</f>
        <v>0</v>
      </c>
      <c r="Z66" s="103"/>
      <c r="AA66" s="103"/>
      <c r="AB66" s="103"/>
      <c r="AC66" s="103"/>
      <c r="AD66" s="103"/>
      <c r="AE66" s="103"/>
      <c r="AF66" s="103"/>
      <c r="AG66" s="103"/>
      <c r="AH66" s="103"/>
    </row>
    <row r="67" customFormat="false" ht="15" hidden="false" customHeight="false" outlineLevel="0" collapsed="false">
      <c r="A67" s="97"/>
      <c r="B67" s="107"/>
      <c r="C67" s="104" t="s">
        <v>240</v>
      </c>
      <c r="D67" s="105"/>
      <c r="E67" s="103"/>
      <c r="F67" s="103"/>
      <c r="G67" s="103"/>
      <c r="H67" s="103"/>
      <c r="I67" s="103"/>
      <c r="J67" s="103"/>
      <c r="K67" s="103"/>
      <c r="L67" s="103"/>
      <c r="M67" s="103"/>
      <c r="N67" s="103"/>
      <c r="O67" s="103"/>
      <c r="P67" s="103"/>
      <c r="Q67" s="103"/>
      <c r="R67" s="103"/>
      <c r="S67" s="103"/>
      <c r="T67" s="103" t="s">
        <v>153</v>
      </c>
      <c r="U67" s="103" t="n">
        <v>0</v>
      </c>
      <c r="V67" s="103" t="n">
        <v>0</v>
      </c>
      <c r="W67" s="103" t="n">
        <v>0</v>
      </c>
      <c r="X67" s="103" t="n">
        <v>0</v>
      </c>
      <c r="Y67" s="106" t="n">
        <f aca="false">SUM(U67:X67)</f>
        <v>0</v>
      </c>
      <c r="Z67" s="103"/>
      <c r="AA67" s="103"/>
      <c r="AB67" s="103"/>
      <c r="AC67" s="103"/>
      <c r="AD67" s="103"/>
      <c r="AE67" s="103"/>
      <c r="AF67" s="103"/>
      <c r="AG67" s="103"/>
      <c r="AH67" s="103"/>
    </row>
    <row r="68" customFormat="false" ht="15" hidden="false" customHeight="false" outlineLevel="0" collapsed="false">
      <c r="A68" s="97"/>
      <c r="B68" s="107"/>
      <c r="C68" s="104" t="s">
        <v>241</v>
      </c>
      <c r="D68" s="105"/>
      <c r="E68" s="103"/>
      <c r="F68" s="103"/>
      <c r="G68" s="103"/>
      <c r="H68" s="103"/>
      <c r="I68" s="103"/>
      <c r="J68" s="103"/>
      <c r="K68" s="103"/>
      <c r="L68" s="103"/>
      <c r="M68" s="103"/>
      <c r="N68" s="103"/>
      <c r="O68" s="103"/>
      <c r="P68" s="103"/>
      <c r="Q68" s="103"/>
      <c r="R68" s="103"/>
      <c r="S68" s="103"/>
      <c r="T68" s="103" t="s">
        <v>153</v>
      </c>
      <c r="U68" s="103" t="n">
        <v>0</v>
      </c>
      <c r="V68" s="103" t="n">
        <v>0</v>
      </c>
      <c r="W68" s="103" t="n">
        <v>0</v>
      </c>
      <c r="X68" s="103" t="n">
        <v>0</v>
      </c>
      <c r="Y68" s="106" t="n">
        <f aca="false">SUM(U68:X68)</f>
        <v>0</v>
      </c>
      <c r="Z68" s="103"/>
      <c r="AA68" s="103"/>
      <c r="AB68" s="103"/>
      <c r="AC68" s="103"/>
      <c r="AD68" s="103"/>
      <c r="AE68" s="103"/>
      <c r="AF68" s="103"/>
      <c r="AG68" s="103"/>
      <c r="AH68" s="103"/>
    </row>
    <row r="69" customFormat="false" ht="15" hidden="false" customHeight="false" outlineLevel="0" collapsed="false">
      <c r="A69" s="97"/>
      <c r="B69" s="107"/>
      <c r="C69" s="104" t="s">
        <v>242</v>
      </c>
      <c r="D69" s="105"/>
      <c r="E69" s="103"/>
      <c r="F69" s="103"/>
      <c r="G69" s="103"/>
      <c r="H69" s="103"/>
      <c r="I69" s="103"/>
      <c r="J69" s="103"/>
      <c r="K69" s="103"/>
      <c r="L69" s="103"/>
      <c r="M69" s="103"/>
      <c r="N69" s="103"/>
      <c r="O69" s="103"/>
      <c r="P69" s="103"/>
      <c r="Q69" s="103"/>
      <c r="R69" s="103"/>
      <c r="S69" s="103"/>
      <c r="T69" s="103" t="s">
        <v>153</v>
      </c>
      <c r="U69" s="103" t="n">
        <v>0</v>
      </c>
      <c r="V69" s="103" t="n">
        <v>0</v>
      </c>
      <c r="W69" s="103" t="n">
        <v>0</v>
      </c>
      <c r="X69" s="103" t="n">
        <v>0</v>
      </c>
      <c r="Y69" s="106" t="n">
        <f aca="false">SUM(U69:X69)</f>
        <v>0</v>
      </c>
      <c r="Z69" s="103"/>
      <c r="AA69" s="103"/>
      <c r="AB69" s="103"/>
      <c r="AC69" s="103"/>
      <c r="AD69" s="103"/>
      <c r="AE69" s="103"/>
      <c r="AF69" s="103"/>
      <c r="AG69" s="103"/>
      <c r="AH69" s="103"/>
    </row>
    <row r="70" customFormat="false" ht="15" hidden="false" customHeight="false" outlineLevel="0" collapsed="false">
      <c r="A70" s="97"/>
      <c r="B70" s="107" t="n">
        <v>18</v>
      </c>
      <c r="C70" s="104" t="s">
        <v>243</v>
      </c>
      <c r="D70" s="105"/>
      <c r="E70" s="103"/>
      <c r="F70" s="103"/>
      <c r="G70" s="103"/>
      <c r="H70" s="103"/>
      <c r="I70" s="103"/>
      <c r="J70" s="103"/>
      <c r="K70" s="103"/>
      <c r="L70" s="103"/>
      <c r="M70" s="103"/>
      <c r="N70" s="103"/>
      <c r="O70" s="103"/>
      <c r="P70" s="103"/>
      <c r="Q70" s="103"/>
      <c r="R70" s="103"/>
      <c r="S70" s="103"/>
      <c r="T70" s="103" t="s">
        <v>153</v>
      </c>
      <c r="U70" s="103" t="n">
        <v>0</v>
      </c>
      <c r="V70" s="103" t="n">
        <v>0</v>
      </c>
      <c r="W70" s="103" t="n">
        <v>0</v>
      </c>
      <c r="X70" s="103" t="n">
        <v>0</v>
      </c>
      <c r="Y70" s="106" t="n">
        <f aca="false">SUM(U70:X70)</f>
        <v>0</v>
      </c>
      <c r="Z70" s="103"/>
      <c r="AA70" s="103"/>
      <c r="AB70" s="103"/>
      <c r="AC70" s="103"/>
      <c r="AD70" s="103"/>
      <c r="AE70" s="103"/>
      <c r="AF70" s="103"/>
      <c r="AG70" s="103"/>
      <c r="AH70" s="103"/>
    </row>
    <row r="71" customFormat="false" ht="15" hidden="false" customHeight="false" outlineLevel="0" collapsed="false">
      <c r="A71" s="97"/>
      <c r="B71" s="107"/>
      <c r="C71" s="104" t="s">
        <v>244</v>
      </c>
      <c r="D71" s="105"/>
      <c r="E71" s="103"/>
      <c r="F71" s="103"/>
      <c r="G71" s="103"/>
      <c r="H71" s="103"/>
      <c r="I71" s="103"/>
      <c r="J71" s="103"/>
      <c r="K71" s="103"/>
      <c r="L71" s="103"/>
      <c r="M71" s="103"/>
      <c r="N71" s="103"/>
      <c r="O71" s="103"/>
      <c r="P71" s="103"/>
      <c r="Q71" s="103"/>
      <c r="R71" s="103"/>
      <c r="S71" s="103"/>
      <c r="T71" s="103" t="s">
        <v>153</v>
      </c>
      <c r="U71" s="103" t="n">
        <v>0</v>
      </c>
      <c r="V71" s="103" t="n">
        <v>0</v>
      </c>
      <c r="W71" s="103" t="n">
        <v>0</v>
      </c>
      <c r="X71" s="103" t="n">
        <v>0</v>
      </c>
      <c r="Y71" s="106" t="n">
        <f aca="false">SUM(U71:X71)</f>
        <v>0</v>
      </c>
      <c r="Z71" s="103"/>
      <c r="AA71" s="103"/>
      <c r="AB71" s="103"/>
      <c r="AC71" s="103"/>
      <c r="AD71" s="103"/>
      <c r="AE71" s="103"/>
      <c r="AF71" s="103"/>
      <c r="AG71" s="103"/>
      <c r="AH71" s="103"/>
    </row>
    <row r="72" customFormat="false" ht="15" hidden="false" customHeight="false" outlineLevel="0" collapsed="false">
      <c r="A72" s="97"/>
      <c r="B72" s="107"/>
      <c r="C72" s="104" t="s">
        <v>245</v>
      </c>
      <c r="D72" s="105"/>
      <c r="E72" s="103"/>
      <c r="F72" s="103"/>
      <c r="G72" s="103"/>
      <c r="H72" s="103"/>
      <c r="I72" s="103"/>
      <c r="J72" s="103"/>
      <c r="K72" s="103"/>
      <c r="L72" s="103"/>
      <c r="M72" s="103"/>
      <c r="N72" s="103"/>
      <c r="O72" s="103"/>
      <c r="P72" s="103"/>
      <c r="Q72" s="103"/>
      <c r="R72" s="103"/>
      <c r="S72" s="103"/>
      <c r="T72" s="103" t="s">
        <v>153</v>
      </c>
      <c r="U72" s="103" t="n">
        <v>0</v>
      </c>
      <c r="V72" s="103" t="n">
        <v>0</v>
      </c>
      <c r="W72" s="103" t="n">
        <v>0</v>
      </c>
      <c r="X72" s="103" t="n">
        <v>0</v>
      </c>
      <c r="Y72" s="106" t="n">
        <f aca="false">SUM(U72:X72)</f>
        <v>0</v>
      </c>
      <c r="Z72" s="103"/>
      <c r="AA72" s="103"/>
      <c r="AB72" s="103"/>
      <c r="AC72" s="103"/>
      <c r="AD72" s="103"/>
      <c r="AE72" s="103"/>
      <c r="AF72" s="103"/>
      <c r="AG72" s="103"/>
      <c r="AH72" s="103"/>
    </row>
    <row r="73" customFormat="false" ht="15" hidden="false" customHeight="false" outlineLevel="0" collapsed="false">
      <c r="A73" s="97"/>
      <c r="B73" s="107"/>
      <c r="C73" s="104" t="s">
        <v>246</v>
      </c>
      <c r="D73" s="105"/>
      <c r="E73" s="103"/>
      <c r="F73" s="103"/>
      <c r="G73" s="103"/>
      <c r="H73" s="103"/>
      <c r="I73" s="103"/>
      <c r="J73" s="103"/>
      <c r="K73" s="103"/>
      <c r="L73" s="103"/>
      <c r="M73" s="103"/>
      <c r="N73" s="103"/>
      <c r="O73" s="103"/>
      <c r="P73" s="103"/>
      <c r="Q73" s="103"/>
      <c r="R73" s="103"/>
      <c r="S73" s="103"/>
      <c r="T73" s="103" t="s">
        <v>153</v>
      </c>
      <c r="U73" s="103" t="n">
        <v>0</v>
      </c>
      <c r="V73" s="103" t="n">
        <v>0</v>
      </c>
      <c r="W73" s="103" t="n">
        <v>0</v>
      </c>
      <c r="X73" s="103" t="n">
        <v>0</v>
      </c>
      <c r="Y73" s="106" t="n">
        <f aca="false">SUM(U73:X73)</f>
        <v>0</v>
      </c>
      <c r="Z73" s="103"/>
      <c r="AA73" s="103"/>
      <c r="AB73" s="103"/>
      <c r="AC73" s="103"/>
      <c r="AD73" s="103"/>
      <c r="AE73" s="103"/>
      <c r="AF73" s="103"/>
      <c r="AG73" s="103"/>
      <c r="AH73" s="103"/>
    </row>
    <row r="74" customFormat="false" ht="15" hidden="false" customHeight="false" outlineLevel="0" collapsed="false">
      <c r="A74" s="97"/>
      <c r="B74" s="127" t="n">
        <v>19</v>
      </c>
      <c r="C74" s="104" t="s">
        <v>247</v>
      </c>
      <c r="D74" s="105"/>
      <c r="E74" s="103"/>
      <c r="F74" s="103"/>
      <c r="G74" s="103"/>
      <c r="H74" s="103"/>
      <c r="I74" s="103"/>
      <c r="J74" s="103"/>
      <c r="K74" s="103"/>
      <c r="L74" s="103"/>
      <c r="M74" s="103"/>
      <c r="N74" s="103"/>
      <c r="O74" s="103"/>
      <c r="P74" s="103"/>
      <c r="Q74" s="103"/>
      <c r="R74" s="103"/>
      <c r="S74" s="103"/>
      <c r="T74" s="103" t="s">
        <v>153</v>
      </c>
      <c r="U74" s="103" t="n">
        <v>0</v>
      </c>
      <c r="V74" s="103" t="n">
        <v>0</v>
      </c>
      <c r="W74" s="103" t="n">
        <v>0</v>
      </c>
      <c r="X74" s="103" t="n">
        <v>0</v>
      </c>
      <c r="Y74" s="106" t="n">
        <f aca="false">SUM(U74:X74)</f>
        <v>0</v>
      </c>
      <c r="Z74" s="103"/>
      <c r="AA74" s="103"/>
      <c r="AB74" s="103"/>
      <c r="AC74" s="103"/>
      <c r="AD74" s="103"/>
      <c r="AE74" s="103"/>
      <c r="AF74" s="103"/>
      <c r="AG74" s="103"/>
      <c r="AH74" s="103"/>
    </row>
    <row r="75" customFormat="false" ht="15" hidden="false" customHeight="false" outlineLevel="0" collapsed="false">
      <c r="A75" s="97"/>
      <c r="B75" s="127"/>
      <c r="C75" s="104" t="s">
        <v>248</v>
      </c>
      <c r="D75" s="105"/>
      <c r="E75" s="103"/>
      <c r="F75" s="103"/>
      <c r="G75" s="103"/>
      <c r="H75" s="103"/>
      <c r="I75" s="103"/>
      <c r="J75" s="103"/>
      <c r="K75" s="103"/>
      <c r="L75" s="103"/>
      <c r="M75" s="103"/>
      <c r="N75" s="103"/>
      <c r="O75" s="103"/>
      <c r="P75" s="103"/>
      <c r="Q75" s="103"/>
      <c r="R75" s="103"/>
      <c r="S75" s="103"/>
      <c r="T75" s="103" t="s">
        <v>153</v>
      </c>
      <c r="U75" s="103" t="n">
        <v>0</v>
      </c>
      <c r="V75" s="103" t="n">
        <v>0</v>
      </c>
      <c r="W75" s="103" t="n">
        <v>0</v>
      </c>
      <c r="X75" s="103" t="n">
        <v>0</v>
      </c>
      <c r="Y75" s="106" t="n">
        <f aca="false">SUM(U75:X75)</f>
        <v>0</v>
      </c>
      <c r="Z75" s="103"/>
      <c r="AA75" s="103"/>
      <c r="AB75" s="103"/>
      <c r="AC75" s="103"/>
      <c r="AD75" s="103"/>
      <c r="AE75" s="103"/>
      <c r="AF75" s="103"/>
      <c r="AG75" s="103"/>
      <c r="AH75" s="103"/>
    </row>
    <row r="76" customFormat="false" ht="15" hidden="false" customHeight="false" outlineLevel="0" collapsed="false">
      <c r="A76" s="97"/>
      <c r="B76" s="127"/>
      <c r="C76" s="104" t="s">
        <v>249</v>
      </c>
      <c r="D76" s="105"/>
      <c r="E76" s="103"/>
      <c r="F76" s="103"/>
      <c r="G76" s="103"/>
      <c r="H76" s="103"/>
      <c r="I76" s="103"/>
      <c r="J76" s="103"/>
      <c r="K76" s="103"/>
      <c r="L76" s="103"/>
      <c r="M76" s="103"/>
      <c r="N76" s="103"/>
      <c r="O76" s="103"/>
      <c r="P76" s="103"/>
      <c r="Q76" s="103"/>
      <c r="R76" s="103"/>
      <c r="S76" s="103"/>
      <c r="T76" s="103" t="s">
        <v>153</v>
      </c>
      <c r="U76" s="103" t="n">
        <v>0</v>
      </c>
      <c r="V76" s="103" t="n">
        <v>0</v>
      </c>
      <c r="W76" s="103" t="n">
        <v>0</v>
      </c>
      <c r="X76" s="103" t="n">
        <v>0</v>
      </c>
      <c r="Y76" s="106" t="n">
        <f aca="false">SUM(U76:X76)</f>
        <v>0</v>
      </c>
      <c r="Z76" s="103"/>
      <c r="AA76" s="103"/>
      <c r="AB76" s="103"/>
      <c r="AC76" s="103"/>
      <c r="AD76" s="103"/>
      <c r="AE76" s="103"/>
      <c r="AF76" s="103"/>
      <c r="AG76" s="103"/>
      <c r="AH76" s="103"/>
    </row>
    <row r="77" customFormat="false" ht="15" hidden="false" customHeight="false" outlineLevel="0" collapsed="false">
      <c r="A77" s="97"/>
      <c r="B77" s="127"/>
      <c r="C77" s="128" t="s">
        <v>250</v>
      </c>
      <c r="D77" s="129"/>
      <c r="E77" s="130"/>
      <c r="F77" s="130"/>
      <c r="G77" s="130"/>
      <c r="H77" s="130"/>
      <c r="I77" s="130"/>
      <c r="J77" s="130"/>
      <c r="K77" s="130"/>
      <c r="L77" s="130"/>
      <c r="M77" s="130"/>
      <c r="N77" s="130"/>
      <c r="O77" s="130"/>
      <c r="P77" s="130"/>
      <c r="Q77" s="130"/>
      <c r="R77" s="130"/>
      <c r="S77" s="130"/>
      <c r="T77" s="130" t="s">
        <v>153</v>
      </c>
      <c r="U77" s="130" t="n">
        <v>0</v>
      </c>
      <c r="V77" s="130" t="n">
        <v>0</v>
      </c>
      <c r="W77" s="130" t="n">
        <v>0</v>
      </c>
      <c r="X77" s="130" t="n">
        <v>0</v>
      </c>
      <c r="Y77" s="131" t="n">
        <f aca="false">SUM(U77:X77)</f>
        <v>0</v>
      </c>
      <c r="Z77" s="103"/>
      <c r="AA77" s="103"/>
      <c r="AB77" s="103"/>
      <c r="AC77" s="103"/>
      <c r="AD77" s="103"/>
      <c r="AE77" s="103"/>
      <c r="AF77" s="103"/>
      <c r="AG77" s="103"/>
      <c r="AH77" s="103"/>
    </row>
    <row r="78" customFormat="false" ht="15" hidden="false" customHeight="false" outlineLevel="0" collapsed="false">
      <c r="A78" s="103"/>
      <c r="B78" s="103"/>
      <c r="C78" s="103"/>
      <c r="D78" s="133" t="n">
        <f aca="false">SUM(D2:D77)</f>
        <v>0</v>
      </c>
      <c r="E78" s="133" t="n">
        <f aca="false">SUM(E2:E77)</f>
        <v>4</v>
      </c>
      <c r="F78" s="133" t="n">
        <f aca="false">SUM(F2:F77)</f>
        <v>12</v>
      </c>
      <c r="G78" s="133" t="n">
        <f aca="false">SUM(G2:G77)</f>
        <v>15</v>
      </c>
      <c r="H78" s="133" t="n">
        <f aca="false">SUM(H2:H77)</f>
        <v>27</v>
      </c>
      <c r="I78" s="133" t="n">
        <f aca="false">SUM(I2:I77)</f>
        <v>12</v>
      </c>
      <c r="J78" s="133" t="n">
        <f aca="false">SUM(J2:J77)</f>
        <v>24</v>
      </c>
      <c r="K78" s="133" t="n">
        <f aca="false">SUM(K2:K77)</f>
        <v>9</v>
      </c>
      <c r="L78" s="133" t="n">
        <f aca="false">SUM(L2:L77)</f>
        <v>12</v>
      </c>
      <c r="M78" s="133" t="n">
        <f aca="false">SUM(M2:M77)</f>
        <v>21</v>
      </c>
      <c r="N78" s="133" t="n">
        <f aca="false">SUM(N2:N77)</f>
        <v>18</v>
      </c>
      <c r="O78" s="133" t="n">
        <f aca="false">SUM(O2:O77)</f>
        <v>15</v>
      </c>
      <c r="P78" s="133" t="n">
        <f aca="false">SUM(P2:P77)</f>
        <v>15</v>
      </c>
      <c r="Q78" s="133" t="n">
        <f aca="false">SUM(Q2:Q77)</f>
        <v>9</v>
      </c>
      <c r="R78" s="133" t="n">
        <f aca="false">SUM(R2:R77)</f>
        <v>30</v>
      </c>
      <c r="S78" s="133" t="n">
        <f aca="false">SUM(S2:S77)</f>
        <v>0</v>
      </c>
      <c r="T78" s="103"/>
      <c r="U78" s="103"/>
      <c r="V78" s="103"/>
      <c r="W78" s="103"/>
      <c r="X78" s="103"/>
      <c r="Y78" s="103"/>
      <c r="Z78" s="103"/>
      <c r="AA78" s="103"/>
      <c r="AB78" s="103"/>
      <c r="AC78" s="103"/>
      <c r="AD78" s="103"/>
      <c r="AE78" s="103"/>
      <c r="AF78" s="103"/>
      <c r="AG78" s="103"/>
      <c r="AH78" s="103"/>
    </row>
    <row r="79" customFormat="false" ht="15" hidden="false" customHeight="false" outlineLevel="0" collapsed="false">
      <c r="A79" s="103"/>
      <c r="B79" s="103"/>
      <c r="C79" s="103"/>
      <c r="D79" s="103"/>
      <c r="E79" s="103"/>
      <c r="F79" s="103"/>
      <c r="G79" s="103"/>
      <c r="H79" s="103"/>
      <c r="I79" s="103"/>
      <c r="J79" s="103"/>
      <c r="K79" s="103"/>
      <c r="L79" s="103"/>
      <c r="M79" s="103"/>
      <c r="N79" s="103"/>
      <c r="O79" s="103"/>
      <c r="P79" s="103"/>
      <c r="Q79" s="103"/>
      <c r="R79" s="103"/>
      <c r="S79" s="103"/>
      <c r="T79" s="103"/>
      <c r="U79" s="134" t="n">
        <f aca="false">SUM(U2:U77)</f>
        <v>189</v>
      </c>
      <c r="V79" s="135" t="n">
        <f aca="false">SUM(V2:V77)</f>
        <v>120</v>
      </c>
      <c r="W79" s="135" t="n">
        <f aca="false">SUM(W2:W77)</f>
        <v>150</v>
      </c>
      <c r="X79" s="135" t="n">
        <f aca="false">SUM(X2:X77)</f>
        <v>24</v>
      </c>
      <c r="Y79" s="136" t="n">
        <f aca="false">SUM(Y2:Y77)</f>
        <v>483</v>
      </c>
      <c r="Z79" s="103"/>
      <c r="AA79" s="103"/>
      <c r="AB79" s="103"/>
      <c r="AC79" s="103"/>
      <c r="AD79" s="103"/>
      <c r="AE79" s="103"/>
      <c r="AF79" s="103"/>
      <c r="AG79" s="103"/>
      <c r="AH79" s="103"/>
    </row>
    <row r="80" customFormat="false" ht="15" hidden="false" customHeight="false" outlineLevel="0" collapsed="false">
      <c r="A80" s="103"/>
      <c r="B80" s="103"/>
      <c r="C80" s="137" t="s">
        <v>251</v>
      </c>
      <c r="D80" s="137"/>
      <c r="E80" s="102" t="n">
        <v>60</v>
      </c>
      <c r="F80" s="103"/>
      <c r="G80" s="103"/>
      <c r="H80" s="103"/>
      <c r="I80" s="103"/>
      <c r="J80" s="103"/>
      <c r="K80" s="103"/>
      <c r="L80" s="103"/>
      <c r="M80" s="103"/>
      <c r="N80" s="103"/>
      <c r="O80" s="103"/>
      <c r="P80" s="103"/>
      <c r="Q80" s="103"/>
      <c r="R80" s="103"/>
      <c r="S80" s="103"/>
      <c r="T80" s="103"/>
      <c r="U80" s="103"/>
      <c r="V80" s="103"/>
      <c r="W80" s="103"/>
      <c r="X80" s="103"/>
      <c r="Y80" s="138" t="s">
        <v>252</v>
      </c>
      <c r="Z80" s="103"/>
      <c r="AA80" s="103"/>
      <c r="AB80" s="103"/>
      <c r="AC80" s="103"/>
      <c r="AD80" s="103"/>
      <c r="AE80" s="103"/>
      <c r="AF80" s="103"/>
      <c r="AG80" s="103"/>
      <c r="AH80" s="103"/>
    </row>
    <row r="81" customFormat="false" ht="15" hidden="false" customHeight="false" outlineLevel="0" collapsed="false">
      <c r="A81" s="103"/>
      <c r="B81" s="103"/>
      <c r="C81" s="139" t="s">
        <v>253</v>
      </c>
      <c r="D81" s="139"/>
      <c r="E81" s="106" t="n">
        <v>322.5</v>
      </c>
      <c r="F81" s="103"/>
      <c r="G81" s="103"/>
      <c r="H81" s="103"/>
      <c r="I81" s="103"/>
      <c r="J81" s="103"/>
      <c r="K81" s="103"/>
      <c r="L81" s="103"/>
      <c r="M81" s="103"/>
      <c r="N81" s="103"/>
      <c r="O81" s="103"/>
      <c r="P81" s="103"/>
      <c r="Q81" s="103"/>
      <c r="R81" s="103"/>
      <c r="S81" s="103"/>
      <c r="T81" s="103"/>
      <c r="U81" s="103"/>
      <c r="V81" s="103"/>
      <c r="W81" s="103"/>
      <c r="X81" s="103"/>
      <c r="Y81" s="103"/>
      <c r="Z81" s="103"/>
      <c r="AA81" s="103"/>
      <c r="AB81" s="103"/>
      <c r="AC81" s="103"/>
      <c r="AD81" s="103"/>
      <c r="AE81" s="103"/>
      <c r="AF81" s="103"/>
      <c r="AG81" s="103"/>
      <c r="AH81" s="103"/>
    </row>
    <row r="82" customFormat="false" ht="15" hidden="false" customHeight="false" outlineLevel="0" collapsed="false">
      <c r="A82" s="103"/>
      <c r="B82" s="103"/>
      <c r="C82" s="139" t="s">
        <v>254</v>
      </c>
      <c r="D82" s="139"/>
      <c r="E82" s="106" t="n">
        <v>35</v>
      </c>
      <c r="F82" s="103"/>
      <c r="G82" s="103"/>
      <c r="H82" s="103"/>
      <c r="I82" s="103"/>
      <c r="J82" s="103"/>
      <c r="K82" s="103"/>
      <c r="L82" s="103"/>
      <c r="M82" s="103"/>
      <c r="N82" s="103"/>
      <c r="O82" s="103"/>
      <c r="P82" s="103"/>
      <c r="Q82" s="103"/>
      <c r="R82" s="103"/>
      <c r="S82" s="103"/>
      <c r="T82" s="103"/>
      <c r="U82" s="103"/>
      <c r="V82" s="103"/>
      <c r="W82" s="103"/>
      <c r="X82" s="103"/>
      <c r="Y82" s="103"/>
      <c r="Z82" s="103"/>
      <c r="AA82" s="103"/>
      <c r="AB82" s="103"/>
      <c r="AC82" s="103"/>
      <c r="AD82" s="103"/>
      <c r="AE82" s="103"/>
      <c r="AF82" s="103"/>
      <c r="AG82" s="103"/>
      <c r="AH82" s="103"/>
    </row>
    <row r="83" customFormat="false" ht="15" hidden="false" customHeight="false" outlineLevel="0" collapsed="false">
      <c r="A83" s="103"/>
      <c r="B83" s="103"/>
      <c r="C83" s="139" t="s">
        <v>255</v>
      </c>
      <c r="D83" s="139"/>
      <c r="E83" s="106" t="n">
        <v>287</v>
      </c>
      <c r="F83" s="103"/>
      <c r="G83" s="103"/>
      <c r="H83" s="103"/>
      <c r="I83" s="103"/>
      <c r="J83" s="103"/>
      <c r="K83" s="103"/>
      <c r="L83" s="103"/>
      <c r="M83" s="103"/>
      <c r="N83" s="103"/>
      <c r="O83" s="103"/>
      <c r="P83" s="103"/>
      <c r="Q83" s="103"/>
      <c r="R83" s="103"/>
      <c r="S83" s="103"/>
      <c r="T83" s="103"/>
      <c r="U83" s="103"/>
      <c r="V83" s="103"/>
      <c r="W83" s="103"/>
      <c r="X83" s="103"/>
      <c r="Y83" s="103"/>
      <c r="Z83" s="103"/>
      <c r="AA83" s="103"/>
      <c r="AB83" s="103"/>
      <c r="AC83" s="103"/>
      <c r="AD83" s="103"/>
      <c r="AE83" s="103"/>
      <c r="AF83" s="103"/>
      <c r="AG83" s="103"/>
      <c r="AH83" s="103"/>
    </row>
    <row r="84" customFormat="false" ht="15" hidden="false" customHeight="false" outlineLevel="0" collapsed="false">
      <c r="A84" s="103"/>
      <c r="B84" s="103"/>
      <c r="C84" s="139" t="s">
        <v>256</v>
      </c>
      <c r="D84" s="139"/>
      <c r="E84" s="106" t="n">
        <v>60</v>
      </c>
      <c r="F84" s="103"/>
      <c r="G84" s="103"/>
      <c r="H84" s="103"/>
      <c r="I84" s="103"/>
      <c r="J84" s="103"/>
      <c r="K84" s="103"/>
      <c r="L84" s="103"/>
      <c r="M84" s="103"/>
      <c r="N84" s="103"/>
      <c r="O84" s="103"/>
      <c r="P84" s="103"/>
      <c r="Q84" s="103"/>
      <c r="R84" s="103"/>
      <c r="S84" s="103"/>
      <c r="T84" s="103"/>
      <c r="U84" s="103"/>
      <c r="V84" s="103"/>
      <c r="W84" s="103"/>
      <c r="X84" s="103"/>
      <c r="Y84" s="103"/>
      <c r="Z84" s="103"/>
      <c r="AA84" s="103"/>
      <c r="AB84" s="103"/>
      <c r="AC84" s="103"/>
      <c r="AD84" s="103"/>
      <c r="AE84" s="103"/>
      <c r="AF84" s="103"/>
      <c r="AG84" s="103"/>
      <c r="AH84" s="103"/>
    </row>
    <row r="85" customFormat="false" ht="15" hidden="false" customHeight="false" outlineLevel="0" collapsed="false">
      <c r="A85" s="103"/>
      <c r="B85" s="103"/>
      <c r="C85" s="140" t="s">
        <v>257</v>
      </c>
      <c r="D85" s="140"/>
      <c r="E85" s="131" t="n">
        <f aca="false">Y79</f>
        <v>483</v>
      </c>
      <c r="F85" s="103"/>
      <c r="G85" s="103"/>
      <c r="H85" s="103"/>
      <c r="I85" s="103"/>
      <c r="J85" s="103"/>
      <c r="K85" s="103"/>
      <c r="L85" s="103"/>
      <c r="M85" s="103"/>
      <c r="N85" s="103"/>
      <c r="O85" s="103"/>
      <c r="P85" s="103"/>
      <c r="Q85" s="103"/>
      <c r="R85" s="103"/>
      <c r="S85" s="103"/>
      <c r="T85" s="103"/>
      <c r="Z85" s="103"/>
      <c r="AA85" s="103"/>
      <c r="AB85" s="103"/>
      <c r="AC85" s="103"/>
      <c r="AD85" s="103"/>
      <c r="AE85" s="103"/>
      <c r="AF85" s="103"/>
      <c r="AG85" s="103"/>
      <c r="AH85" s="103"/>
    </row>
    <row r="86" customFormat="false" ht="15" hidden="false" customHeight="false" outlineLevel="0" collapsed="false">
      <c r="A86" s="103"/>
      <c r="B86" s="103"/>
      <c r="C86" s="103"/>
      <c r="D86" s="103"/>
      <c r="E86" s="103"/>
      <c r="F86" s="103"/>
      <c r="G86" s="103"/>
      <c r="H86" s="103"/>
      <c r="I86" s="103"/>
      <c r="J86" s="103"/>
      <c r="K86" s="103"/>
      <c r="L86" s="103"/>
      <c r="M86" s="103"/>
      <c r="N86" s="103"/>
      <c r="O86" s="103"/>
      <c r="P86" s="103"/>
      <c r="Q86" s="103"/>
      <c r="R86" s="103"/>
      <c r="S86" s="103"/>
      <c r="T86" s="103"/>
      <c r="U86" s="103"/>
      <c r="V86" s="103"/>
      <c r="W86" s="103"/>
      <c r="X86" s="103"/>
      <c r="Y86" s="103"/>
      <c r="Z86" s="103"/>
      <c r="AA86" s="103"/>
      <c r="AB86" s="103"/>
      <c r="AC86" s="103"/>
      <c r="AD86" s="103"/>
      <c r="AE86" s="103"/>
      <c r="AF86" s="103"/>
      <c r="AG86" s="103"/>
      <c r="AH86" s="103"/>
    </row>
  </sheetData>
  <mergeCells count="27">
    <mergeCell ref="A2:A61"/>
    <mergeCell ref="B2:B5"/>
    <mergeCell ref="B6:B9"/>
    <mergeCell ref="B10:B13"/>
    <mergeCell ref="B14:B17"/>
    <mergeCell ref="B18:B21"/>
    <mergeCell ref="B22:B25"/>
    <mergeCell ref="B26:B29"/>
    <mergeCell ref="B30:B33"/>
    <mergeCell ref="B34:B37"/>
    <mergeCell ref="B38:B41"/>
    <mergeCell ref="B42:B45"/>
    <mergeCell ref="B46:B49"/>
    <mergeCell ref="B50:B53"/>
    <mergeCell ref="B54:B57"/>
    <mergeCell ref="B58:B61"/>
    <mergeCell ref="A62:A77"/>
    <mergeCell ref="B62:B65"/>
    <mergeCell ref="B66:B69"/>
    <mergeCell ref="B70:B73"/>
    <mergeCell ref="B74:B77"/>
    <mergeCell ref="C80:D80"/>
    <mergeCell ref="C81:D81"/>
    <mergeCell ref="C82:D82"/>
    <mergeCell ref="C83:D83"/>
    <mergeCell ref="C84:D84"/>
    <mergeCell ref="C85:D8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8" activeCellId="0" sqref="G8"/>
    </sheetView>
  </sheetViews>
  <sheetFormatPr defaultColWidth="8.6796875" defaultRowHeight="15" customHeight="true" zeroHeight="false" outlineLevelRow="0" outlineLevelCol="0"/>
  <cols>
    <col collapsed="false" customWidth="true" hidden="false" outlineLevel="0" max="1" min="1" style="1" width="29.57"/>
    <col collapsed="false" customWidth="true" hidden="false" outlineLevel="0" max="2" min="2" style="1" width="12"/>
    <col collapsed="false" customWidth="true" hidden="false" outlineLevel="0" max="3" min="3" style="1" width="11"/>
    <col collapsed="false" customWidth="true" hidden="false" outlineLevel="0" max="6" min="6" style="1" width="12"/>
  </cols>
  <sheetData>
    <row r="1" customFormat="false" ht="15" hidden="false" customHeight="false" outlineLevel="0" collapsed="false">
      <c r="A1" s="42" t="s">
        <v>258</v>
      </c>
    </row>
    <row r="4" customFormat="false" ht="15" hidden="false" customHeight="false" outlineLevel="0" collapsed="false">
      <c r="A4" s="1" t="s">
        <v>259</v>
      </c>
      <c r="B4" s="141" t="n">
        <v>43739</v>
      </c>
      <c r="D4" s="1" t="s">
        <v>260</v>
      </c>
    </row>
    <row r="5" customFormat="false" ht="15" hidden="false" customHeight="false" outlineLevel="0" collapsed="false">
      <c r="A5" s="1" t="s">
        <v>261</v>
      </c>
      <c r="B5" s="141" t="n">
        <v>44621</v>
      </c>
      <c r="D5" s="1" t="s">
        <v>260</v>
      </c>
    </row>
    <row r="6" customFormat="false" ht="15" hidden="false" customHeight="false" outlineLevel="0" collapsed="false">
      <c r="A6" s="1" t="s">
        <v>262</v>
      </c>
      <c r="B6" s="142" t="n">
        <f aca="false">B5-B4</f>
        <v>882</v>
      </c>
      <c r="D6" s="1" t="s">
        <v>263</v>
      </c>
    </row>
    <row r="7" customFormat="false" ht="15" hidden="false" customHeight="false" outlineLevel="0" collapsed="false">
      <c r="A7" s="1" t="s">
        <v>264</v>
      </c>
      <c r="B7" s="143" t="n">
        <f aca="false">B6/365</f>
        <v>2.41643835616438</v>
      </c>
      <c r="D7" s="1" t="s">
        <v>263</v>
      </c>
    </row>
    <row r="8" customFormat="false" ht="15" hidden="false" customHeight="false" outlineLevel="0" collapsed="false">
      <c r="A8" s="1" t="s">
        <v>265</v>
      </c>
      <c r="B8" s="144" t="n">
        <v>7.5</v>
      </c>
      <c r="D8" s="1" t="s">
        <v>260</v>
      </c>
    </row>
    <row r="10" customFormat="false" ht="15" hidden="false" customHeight="false" outlineLevel="0" collapsed="false">
      <c r="A10" s="42" t="s">
        <v>266</v>
      </c>
      <c r="C10" s="145" t="n">
        <f aca="false">260*B8*0.2*B7</f>
        <v>942.41095890411</v>
      </c>
      <c r="F10" s="146" t="s">
        <v>267</v>
      </c>
    </row>
    <row r="11" customFormat="false" ht="15" hidden="false" customHeight="false" outlineLevel="0" collapsed="false">
      <c r="F11" s="146" t="s">
        <v>268</v>
      </c>
    </row>
    <row r="12" customFormat="false" ht="15" hidden="false" customHeight="false" outlineLevel="0" collapsed="false">
      <c r="A12" s="42" t="s">
        <v>269</v>
      </c>
      <c r="C12" s="147" t="e">
        <f aca="false">'otjt log'!#ref!</f>
        <v>#VALUE!</v>
      </c>
      <c r="D12" s="1" t="s">
        <v>263</v>
      </c>
    </row>
    <row r="14" customFormat="false" ht="15" hidden="false" customHeight="false" outlineLevel="0" collapsed="false">
      <c r="A14" s="42" t="s">
        <v>270</v>
      </c>
      <c r="C14" s="148" t="e">
        <f aca="false">C12-C10</f>
        <v>#VALUE!</v>
      </c>
    </row>
    <row r="17" customFormat="false" ht="15" hidden="false" customHeight="false" outlineLevel="0" collapsed="false">
      <c r="A17" s="149" t="s">
        <v>271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1"/>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D7" activeCellId="0" sqref="D7"/>
    </sheetView>
  </sheetViews>
  <sheetFormatPr defaultColWidth="8.6796875" defaultRowHeight="15" customHeight="true" zeroHeight="false" outlineLevelRow="0" outlineLevelCol="0"/>
  <cols>
    <col collapsed="false" customWidth="true" hidden="false" outlineLevel="0" max="2" min="2" style="1" width="110.42"/>
    <col collapsed="false" customWidth="true" hidden="false" outlineLevel="0" max="7" min="7" style="1" width="6.43"/>
    <col collapsed="false" customWidth="true" hidden="true" outlineLevel="0" max="8" min="8" style="1" width="7.29"/>
    <col collapsed="false" customWidth="true" hidden="true" outlineLevel="0" max="9" min="9" style="1" width="6.85"/>
    <col collapsed="false" customWidth="true" hidden="true" outlineLevel="0" max="14" min="10" style="1" width="9.14"/>
  </cols>
  <sheetData>
    <row r="1" customFormat="false" ht="15" hidden="false" customHeight="false" outlineLevel="0" collapsed="false">
      <c r="A1" s="2"/>
      <c r="B1" s="2"/>
      <c r="C1" s="2"/>
      <c r="D1" s="2"/>
      <c r="E1" s="2"/>
      <c r="F1" s="2"/>
      <c r="G1" s="2"/>
      <c r="H1" s="2"/>
      <c r="I1" s="2"/>
      <c r="J1" s="2"/>
      <c r="K1" s="2"/>
      <c r="L1" s="2"/>
      <c r="M1" s="2"/>
      <c r="N1" s="2"/>
      <c r="O1" s="2"/>
      <c r="P1" s="2"/>
      <c r="Q1" s="2"/>
      <c r="R1" s="2"/>
      <c r="S1" s="2"/>
    </row>
    <row r="2" customFormat="false" ht="17.35" hidden="false" customHeight="false" outlineLevel="0" collapsed="false">
      <c r="A2" s="2"/>
      <c r="B2" s="150" t="s">
        <v>272</v>
      </c>
      <c r="C2" s="151"/>
      <c r="D2" s="151"/>
      <c r="E2" s="152"/>
      <c r="F2" s="2"/>
      <c r="G2" s="2"/>
      <c r="H2" s="2"/>
      <c r="I2" s="2"/>
      <c r="J2" s="2"/>
      <c r="K2" s="2"/>
      <c r="L2" s="63"/>
      <c r="M2" s="63"/>
      <c r="N2" s="2"/>
      <c r="O2" s="2"/>
      <c r="P2" s="2"/>
      <c r="Q2" s="2"/>
      <c r="R2" s="2"/>
      <c r="S2" s="2"/>
    </row>
    <row r="3" customFormat="false" ht="15" hidden="false" customHeight="false" outlineLevel="0" collapsed="false">
      <c r="A3" s="2"/>
      <c r="B3" s="153" t="s">
        <v>273</v>
      </c>
      <c r="C3" s="154"/>
      <c r="D3" s="154"/>
      <c r="E3" s="154"/>
      <c r="F3" s="154"/>
      <c r="G3" s="154"/>
      <c r="H3" s="154"/>
      <c r="I3" s="154"/>
      <c r="J3" s="154"/>
      <c r="K3" s="154"/>
      <c r="L3" s="154"/>
      <c r="M3" s="154"/>
      <c r="N3" s="154"/>
      <c r="O3" s="2"/>
      <c r="P3" s="2"/>
      <c r="Q3" s="2"/>
      <c r="R3" s="2"/>
      <c r="S3" s="2"/>
    </row>
    <row r="4" customFormat="false" ht="15" hidden="false" customHeight="false" outlineLevel="0" collapsed="false">
      <c r="A4" s="2"/>
      <c r="B4" s="155" t="s">
        <v>274</v>
      </c>
      <c r="C4" s="154"/>
      <c r="D4" s="154"/>
      <c r="E4" s="154"/>
      <c r="F4" s="154"/>
      <c r="G4" s="154"/>
      <c r="H4" s="154"/>
      <c r="I4" s="154"/>
      <c r="J4" s="154"/>
      <c r="K4" s="154"/>
      <c r="L4" s="154"/>
      <c r="M4" s="154"/>
      <c r="N4" s="154"/>
      <c r="O4" s="2"/>
      <c r="P4" s="2"/>
      <c r="Q4" s="2"/>
      <c r="R4" s="2"/>
      <c r="S4" s="2"/>
    </row>
    <row r="5" customFormat="false" ht="39" hidden="false" customHeight="true" outlineLevel="0" collapsed="false">
      <c r="A5" s="2"/>
      <c r="B5" s="156" t="s">
        <v>275</v>
      </c>
      <c r="C5" s="156"/>
      <c r="D5" s="156"/>
      <c r="E5" s="156"/>
      <c r="F5" s="156"/>
      <c r="G5" s="156"/>
      <c r="H5" s="156"/>
      <c r="I5" s="156"/>
      <c r="J5" s="156"/>
      <c r="K5" s="156"/>
      <c r="L5" s="156"/>
      <c r="M5" s="156"/>
      <c r="N5" s="156"/>
      <c r="O5" s="63"/>
      <c r="P5" s="2"/>
      <c r="Q5" s="2"/>
      <c r="R5" s="2"/>
      <c r="S5" s="2"/>
    </row>
    <row r="6" customFormat="false" ht="15" hidden="false" customHeight="false" outlineLevel="0" collapsed="false">
      <c r="A6" s="2"/>
      <c r="B6" s="157" t="s">
        <v>276</v>
      </c>
      <c r="C6" s="157"/>
      <c r="D6" s="157"/>
      <c r="E6" s="158"/>
      <c r="F6" s="159"/>
      <c r="G6" s="157"/>
      <c r="H6" s="157"/>
      <c r="I6" s="157"/>
      <c r="J6" s="159"/>
      <c r="K6" s="157"/>
      <c r="L6" s="160"/>
      <c r="M6" s="158"/>
      <c r="N6" s="157"/>
      <c r="O6" s="63"/>
      <c r="P6" s="63"/>
      <c r="Q6" s="2"/>
      <c r="R6" s="2"/>
      <c r="S6" s="2"/>
    </row>
    <row r="7" customFormat="false" ht="15" hidden="false" customHeight="false" outlineLevel="0" collapsed="false">
      <c r="A7" s="2"/>
      <c r="B7" s="2"/>
      <c r="C7" s="2"/>
      <c r="D7" s="2"/>
      <c r="E7" s="2"/>
      <c r="F7" s="63"/>
      <c r="G7" s="2"/>
      <c r="H7" s="2"/>
      <c r="I7" s="2"/>
      <c r="J7" s="63"/>
      <c r="K7" s="2"/>
      <c r="L7" s="2"/>
      <c r="M7" s="2"/>
      <c r="N7" s="2"/>
      <c r="O7" s="63"/>
      <c r="P7" s="2"/>
      <c r="Q7" s="63"/>
      <c r="R7" s="2"/>
      <c r="S7" s="2"/>
    </row>
    <row r="8" customFormat="false" ht="15" hidden="false" customHeight="false" outlineLevel="0" collapsed="false">
      <c r="A8" s="2"/>
      <c r="B8" s="2"/>
      <c r="C8" s="2"/>
      <c r="D8" s="2"/>
      <c r="E8" s="2"/>
      <c r="F8" s="2"/>
      <c r="G8" s="2"/>
      <c r="H8" s="2"/>
      <c r="I8" s="2"/>
      <c r="J8" s="2"/>
      <c r="K8" s="2"/>
      <c r="L8" s="2"/>
      <c r="M8" s="2"/>
      <c r="N8" s="2"/>
      <c r="O8" s="2"/>
      <c r="P8" s="2"/>
      <c r="Q8" s="2"/>
      <c r="R8" s="2"/>
      <c r="S8" s="2"/>
    </row>
    <row r="9" customFormat="false" ht="15" hidden="false" customHeight="false" outlineLevel="0" collapsed="false">
      <c r="B9" s="161"/>
      <c r="C9" s="162"/>
      <c r="D9" s="162"/>
      <c r="E9" s="162"/>
      <c r="F9" s="162"/>
    </row>
    <row r="10" customFormat="false" ht="15" hidden="false" customHeight="false" outlineLevel="0" collapsed="false">
      <c r="B10" s="163" t="s">
        <v>277</v>
      </c>
    </row>
    <row r="11" customFormat="false" ht="15" hidden="false" customHeight="false" outlineLevel="0" collapsed="false">
      <c r="B11" s="163"/>
    </row>
    <row r="12" customFormat="false" ht="15" hidden="false" customHeight="false" outlineLevel="0" collapsed="false">
      <c r="B12" s="163"/>
    </row>
    <row r="13" customFormat="false" ht="15" hidden="false" customHeight="false" outlineLevel="0" collapsed="false">
      <c r="B13" s="163"/>
    </row>
    <row r="14" customFormat="false" ht="15" hidden="false" customHeight="false" outlineLevel="0" collapsed="false">
      <c r="B14" s="163"/>
    </row>
    <row r="21" customFormat="false" ht="15" hidden="false" customHeight="false" outlineLevel="0" collapsed="false">
      <c r="R21" s="164"/>
    </row>
  </sheetData>
  <mergeCells count="2">
    <mergeCell ref="B5:N5"/>
    <mergeCell ref="B10:B14"/>
  </mergeCells>
  <dataValidations count="2">
    <dataValidation allowBlank="true" errorStyle="stop" operator="between" prompt="Date when the exam was completed" showDropDown="false" showErrorMessage="true" showInputMessage="true" sqref="D9" type="none">
      <formula1>0</formula1>
      <formula2>0</formula2>
    </dataValidation>
    <dataValidation allowBlank="true" errorStyle="stop" operator="between" prompt="Please note any extra study leave you received during work hours" showDropDown="false" showErrorMessage="true" showInputMessage="true" sqref="F9"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haredWithUsers xmlns="b1023a92-dbec-45a4-bb83-a4551f519714">
      <UserInfo>
        <DisplayName>Craig Stevens</DisplayName>
        <AccountId>17</AccountId>
        <AccountType/>
      </UserInfo>
      <UserInfo>
        <DisplayName>Afzan Matloob</DisplayName>
        <AccountId>46</AccountId>
        <AccountType/>
      </UserInfo>
    </SharedWithUsers>
    <_activity xmlns="bad96bf2-a978-419b-857e-f041088cbe2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EE32E084D91FD4283E80A6FB1C1380B" ma:contentTypeVersion="14" ma:contentTypeDescription="Create a new document." ma:contentTypeScope="" ma:versionID="54ea750e0a0f326e2111beccd9c87066">
  <xsd:schema xmlns:xsd="http://www.w3.org/2001/XMLSchema" xmlns:xs="http://www.w3.org/2001/XMLSchema" xmlns:p="http://schemas.microsoft.com/office/2006/metadata/properties" xmlns:ns3="bad96bf2-a978-419b-857e-f041088cbe29" xmlns:ns4="b1023a92-dbec-45a4-bb83-a4551f519714" targetNamespace="http://schemas.microsoft.com/office/2006/metadata/properties" ma:root="true" ma:fieldsID="413a4c7486017379570c1da3f7b843fa" ns3:_="" ns4:_="">
    <xsd:import namespace="bad96bf2-a978-419b-857e-f041088cbe29"/>
    <xsd:import namespace="b1023a92-dbec-45a4-bb83-a4551f519714"/>
    <xsd:element name="properties">
      <xsd:complexType>
        <xsd:sequence>
          <xsd:element name="documentManagement">
            <xsd:complexType>
              <xsd:all>
                <xsd:element ref="ns3:MediaServiceMetadata" minOccurs="0"/>
                <xsd:element ref="ns3:MediaServiceFastMetadata" minOccurs="0"/>
                <xsd:element ref="ns3:MediaServiceObjectDetectorVersions" minOccurs="0"/>
                <xsd:element ref="ns3:MediaServiceDateTaken" minOccurs="0"/>
                <xsd:element ref="ns3:MediaServiceSystemTags" minOccurs="0"/>
                <xsd:element ref="ns3:MediaServiceOCR" minOccurs="0"/>
                <xsd:element ref="ns3:MediaServiceGenerationTime" minOccurs="0"/>
                <xsd:element ref="ns3:MediaServiceEventHashCode" minOccurs="0"/>
                <xsd:element ref="ns3:_activity" minOccurs="0"/>
                <xsd:element ref="ns4:SharedWithUsers" minOccurs="0"/>
                <xsd:element ref="ns4:SharedWithDetails" minOccurs="0"/>
                <xsd:element ref="ns4:SharingHintHash" minOccurs="0"/>
                <xsd:element ref="ns3:MediaServiceSearchProperties"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ad96bf2-a978-419b-857e-f041088cbe2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1023a92-dbec-45a4-bb83-a4551f51971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SharingHintHash" ma:index="19"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7D0D882-CBE1-41A5-A59C-C48B26872275}">
  <ds:schemaRefs>
    <ds:schemaRef ds:uri="http://schemas.microsoft.com/sharepoint/v3/contenttype/forms"/>
  </ds:schemaRefs>
</ds:datastoreItem>
</file>

<file path=customXml/itemProps2.xml><?xml version="1.0" encoding="utf-8"?>
<ds:datastoreItem xmlns:ds="http://schemas.openxmlformats.org/officeDocument/2006/customXml" ds:itemID="{F627C2A1-639E-4000-94D7-FA9740411AFB}">
  <ds:schemaRefs>
    <ds:schemaRef ds:uri="http://schemas.microsoft.com/office/2006/documentManagement/types"/>
    <ds:schemaRef ds:uri="http://schemas.openxmlformats.org/package/2006/metadata/core-properties"/>
    <ds:schemaRef ds:uri="http://schemas.microsoft.com/office/2006/metadata/properties"/>
    <ds:schemaRef ds:uri="b1023a92-dbec-45a4-bb83-a4551f519714"/>
    <ds:schemaRef ds:uri="http://purl.org/dc/dcmitype/"/>
    <ds:schemaRef ds:uri="http://purl.org/dc/elements/1.1/"/>
    <ds:schemaRef ds:uri="http://www.w3.org/XML/1998/namespace"/>
    <ds:schemaRef ds:uri="http://purl.org/dc/terms/"/>
    <ds:schemaRef ds:uri="bad96bf2-a978-419b-857e-f041088cbe29"/>
    <ds:schemaRef ds:uri="http://schemas.microsoft.com/office/infopath/2007/PartnerControls"/>
  </ds:schemaRefs>
</ds:datastoreItem>
</file>

<file path=customXml/itemProps3.xml><?xml version="1.0" encoding="utf-8"?>
<ds:datastoreItem xmlns:ds="http://schemas.openxmlformats.org/officeDocument/2006/customXml" ds:itemID="{7B2A4EB8-8E9D-424D-B827-F9A389FEA1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ad96bf2-a978-419b-857e-f041088cbe29"/>
    <ds:schemaRef ds:uri="b1023a92-dbec-45a4-bb83-a4551f51971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17151eb3-00ab-470c-b25c-644c7691e891}" enabled="1" method="Privileged" siteId="{3ded2960-214a-46ff-8cf4-611f125e2398}" contentBits="0" removed="0"/>
</clbl:labelList>
</file>

<file path=docProps/app.xml><?xml version="1.0" encoding="utf-8"?>
<Properties xmlns="http://schemas.openxmlformats.org/officeDocument/2006/extended-properties" xmlns:vt="http://schemas.openxmlformats.org/officeDocument/2006/docPropsVTypes">
  <Template/>
  <TotalTime>48</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2020-04-03T13:39:35Z</dcterms:created>
  <dc:creator>Justine Zemele</dc:creator>
  <dc:description/>
  <dc:language>en-GB</dc:language>
  <cp:lastModifiedBy/>
  <dcterms:modified xsi:type="dcterms:W3CDTF">2026-02-12T12:17:23Z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etency">
    <vt:lpwstr/>
  </property>
  <property fmtid="{D5CDD505-2E9C-101B-9397-08002B2CF9AE}" pid="3" name="ComplianceAssetId">
    <vt:lpwstr/>
  </property>
  <property fmtid="{D5CDD505-2E9C-101B-9397-08002B2CF9AE}" pid="4" name="ContentTypeId">
    <vt:lpwstr>0x010100CEE32E084D91FD4283E80A6FB1C1380B</vt:lpwstr>
  </property>
  <property fmtid="{D5CDD505-2E9C-101B-9397-08002B2CF9AE}" pid="5" name="KSB">
    <vt:lpwstr/>
  </property>
  <property fmtid="{D5CDD505-2E9C-101B-9397-08002B2CF9AE}" pid="6" name="MediaServiceImageTags">
    <vt:lpwstr/>
  </property>
  <property fmtid="{D5CDD505-2E9C-101B-9397-08002B2CF9AE}" pid="7" name="Order">
    <vt:r8>17800</vt:r8>
  </property>
  <property fmtid="{D5CDD505-2E9C-101B-9397-08002B2CF9AE}" pid="8" name="TemplateUrl">
    <vt:lpwstr/>
  </property>
  <property fmtid="{D5CDD505-2E9C-101B-9397-08002B2CF9AE}" pid="9" name="TriggerFlowInfo">
    <vt:lpwstr/>
  </property>
  <property fmtid="{D5CDD505-2E9C-101B-9397-08002B2CF9AE}" pid="10" name="_ExtendedDescription">
    <vt:lpwstr/>
  </property>
  <property fmtid="{D5CDD505-2E9C-101B-9397-08002B2CF9AE}" pid="11" name="completedorworkinprogress">
    <vt:bool>1</vt:bool>
  </property>
  <property fmtid="{D5CDD505-2E9C-101B-9397-08002B2CF9AE}" pid="12" name="xd_ProgID">
    <vt:lpwstr/>
  </property>
  <property fmtid="{D5CDD505-2E9C-101B-9397-08002B2CF9AE}" pid="13" name="xd_Signature">
    <vt:bool>0</vt:bool>
  </property>
</Properties>
</file>